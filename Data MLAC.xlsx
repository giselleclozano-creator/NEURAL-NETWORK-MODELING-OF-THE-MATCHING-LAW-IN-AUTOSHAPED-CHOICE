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os, artículos\DBP\"/>
    </mc:Choice>
  </mc:AlternateContent>
  <xr:revisionPtr revIDLastSave="0" documentId="13_ncr:1_{66931D82-3414-4A62-A465-DC58187EE4F4}" xr6:coauthVersionLast="47" xr6:coauthVersionMax="47" xr10:uidLastSave="{00000000-0000-0000-0000-000000000000}"/>
  <bookViews>
    <workbookView xWindow="-108" yWindow="-108" windowWidth="23256" windowHeight="12576" xr2:uid="{7387A7D1-056B-4926-A1BD-5A8733BF5E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H3" i="1"/>
  <c r="H2" i="1"/>
  <c r="H9" i="1"/>
  <c r="H7" i="1"/>
  <c r="H5" i="1"/>
  <c r="I5" i="1"/>
  <c r="J5" i="1"/>
  <c r="H6" i="1"/>
  <c r="I6" i="1"/>
  <c r="J6" i="1"/>
  <c r="H10" i="1"/>
  <c r="I10" i="1"/>
  <c r="J10" i="1"/>
  <c r="H8" i="1"/>
  <c r="I8" i="1"/>
  <c r="J8" i="1"/>
  <c r="H82" i="1"/>
  <c r="H81" i="1"/>
  <c r="H80" i="1"/>
  <c r="H79" i="1"/>
  <c r="H78" i="1"/>
  <c r="H76" i="1"/>
  <c r="H75" i="1"/>
  <c r="H74" i="1"/>
  <c r="H73" i="1"/>
  <c r="H72" i="1"/>
  <c r="H71" i="1"/>
  <c r="H70" i="1"/>
  <c r="H69" i="1"/>
  <c r="H68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H67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H77" i="1"/>
  <c r="I77" i="1"/>
  <c r="J77" i="1"/>
  <c r="I78" i="1"/>
  <c r="J78" i="1"/>
  <c r="I79" i="1"/>
  <c r="J79" i="1"/>
  <c r="I80" i="1"/>
  <c r="J80" i="1"/>
  <c r="I81" i="1"/>
  <c r="J81" i="1"/>
  <c r="I82" i="1"/>
  <c r="J82" i="1"/>
  <c r="H46" i="1"/>
  <c r="H45" i="1"/>
  <c r="H44" i="1"/>
  <c r="H43" i="1"/>
  <c r="H41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3" i="1"/>
  <c r="H22" i="1"/>
  <c r="H21" i="1"/>
  <c r="H20" i="1"/>
  <c r="H18" i="1"/>
  <c r="H17" i="1"/>
  <c r="H16" i="1"/>
  <c r="H15" i="1"/>
  <c r="H13" i="1"/>
  <c r="H12" i="1"/>
  <c r="H11" i="1"/>
  <c r="H14" i="1"/>
  <c r="H19" i="1"/>
  <c r="H24" i="1"/>
  <c r="H39" i="1"/>
  <c r="H42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J4" i="1"/>
  <c r="J7" i="1"/>
  <c r="J9" i="1"/>
  <c r="J2" i="1"/>
  <c r="I3" i="1"/>
  <c r="I4" i="1"/>
  <c r="I7" i="1"/>
  <c r="I9" i="1"/>
  <c r="H4" i="1"/>
  <c r="I2" i="1"/>
</calcChain>
</file>

<file path=xl/sharedStrings.xml><?xml version="1.0" encoding="utf-8"?>
<sst xmlns="http://schemas.openxmlformats.org/spreadsheetml/2006/main" count="100" uniqueCount="28">
  <si>
    <t>M1</t>
  </si>
  <si>
    <t>M2</t>
  </si>
  <si>
    <t>log(M1/M2)</t>
  </si>
  <si>
    <t>log(r1/r2)</t>
  </si>
  <si>
    <t>%</t>
  </si>
  <si>
    <t>100/40</t>
  </si>
  <si>
    <t>100/80</t>
  </si>
  <si>
    <t>100/100</t>
  </si>
  <si>
    <t>40/100</t>
  </si>
  <si>
    <t>20/100</t>
  </si>
  <si>
    <t>80/100</t>
  </si>
  <si>
    <t>100/20</t>
  </si>
  <si>
    <t>100/60</t>
  </si>
  <si>
    <t>60/100</t>
  </si>
  <si>
    <t>Net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</si>
  <si>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</si>
  <si>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</si>
  <si>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</si>
  <si>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</si>
  <si>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</si>
  <si>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</si>
  <si>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</si>
  <si>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</si>
  <si>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</si>
  <si>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S''1→M''1</t>
  </si>
  <si>
    <t>S''2→''M2</t>
  </si>
  <si>
    <t>log(S''1→M''1/S''2→''M2)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</si>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</sst>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2" fontId="0" fillId="0" borderId="0" xfId="0" applyNumberFormat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603057889822597"/>
                  <c:y val="0.50958413531641877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Hoja1!$H$2:$H$10</c:f>
              <c:numCache>
                <c:formatCode>0.00</c:formatCode>
                <c:ptCount val="9"/>
                <c:pt idx="0">
                  <c:v>0</c:v>
                </c:pt>
                <c:pt idx="1">
                  <c:v>-0.3979400086720376</c:v>
                </c:pt>
                <c:pt idx="2">
                  <c:v>-0.69897000433601875</c:v>
                </c:pt>
                <c:pt idx="3">
                  <c:v>9.691001300805642E-2</c:v>
                </c:pt>
                <c:pt idx="4">
                  <c:v>-9.6910013008056392E-2</c:v>
                </c:pt>
                <c:pt idx="5">
                  <c:v>0.69897000433601886</c:v>
                </c:pt>
                <c:pt idx="6">
                  <c:v>0.22184874961635639</c:v>
                </c:pt>
                <c:pt idx="7">
                  <c:v>0.3979400086720376</c:v>
                </c:pt>
                <c:pt idx="8">
                  <c:v>-0.22184874961635639</c:v>
                </c:pt>
              </c:numCache>
            </c:numRef>
          </c:xVal>
          <c:yVal>
            <c:numRef>
              <c:f>Hoja1!$J$2:$J$10</c:f>
              <c:numCache>
                <c:formatCode>0.00</c:formatCode>
                <c:ptCount val="9"/>
                <c:pt idx="0">
                  <c:v>2.7530877022619759E-2</c:v>
                </c:pt>
                <c:pt idx="1">
                  <c:v>-0.34529198721218457</c:v>
                </c:pt>
                <c:pt idx="2">
                  <c:v>-0.38883776670571379</c:v>
                </c:pt>
                <c:pt idx="3">
                  <c:v>-2.5430607871407288E-2</c:v>
                </c:pt>
                <c:pt idx="4">
                  <c:v>-1.8514892773710833E-2</c:v>
                </c:pt>
                <c:pt idx="5">
                  <c:v>0.56648813981664892</c:v>
                </c:pt>
                <c:pt idx="6">
                  <c:v>-9.1474254273291908E-2</c:v>
                </c:pt>
                <c:pt idx="7">
                  <c:v>0.35229456643119877</c:v>
                </c:pt>
                <c:pt idx="8">
                  <c:v>6.7311291787513272E-2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AE-4C2F-84F4-CEDC3F8F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9133345004668535"/>
                  <c:y val="0.55951822688830566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Hoja1!$H$2:$H$10</c:f>
              <c:numCache>
                <c:formatCode>0.00</c:formatCode>
                <c:ptCount val="9"/>
                <c:pt idx="0">
                  <c:v>0</c:v>
                </c:pt>
                <c:pt idx="1">
                  <c:v>-0.3979400086720376</c:v>
                </c:pt>
                <c:pt idx="2">
                  <c:v>-0.69897000433601875</c:v>
                </c:pt>
                <c:pt idx="3">
                  <c:v>9.691001300805642E-2</c:v>
                </c:pt>
                <c:pt idx="4">
                  <c:v>-9.6910013008056392E-2</c:v>
                </c:pt>
                <c:pt idx="5">
                  <c:v>0.69897000433601886</c:v>
                </c:pt>
                <c:pt idx="6">
                  <c:v>0.22184874961635639</c:v>
                </c:pt>
                <c:pt idx="7">
                  <c:v>0.3979400086720376</c:v>
                </c:pt>
                <c:pt idx="8">
                  <c:v>-0.22184874961635639</c:v>
                </c:pt>
              </c:numCache>
            </c:numRef>
          </c:xVal>
          <c:yVal>
            <c:numRef>
              <c:f>Hoja1!$I$2:$I$10</c:f>
              <c:numCache>
                <c:formatCode>0.00</c:formatCode>
                <c:ptCount val="9"/>
                <c:pt idx="0">
                  <c:v>2.0046106845542914E-2</c:v>
                </c:pt>
                <c:pt idx="1">
                  <c:v>-1.4983897855668682</c:v>
                </c:pt>
                <c:pt idx="2">
                  <c:v>-1.8139158539711335</c:v>
                </c:pt>
                <c:pt idx="3">
                  <c:v>-2.0453448407690408E-2</c:v>
                </c:pt>
                <c:pt idx="4">
                  <c:v>-9.7489616170128093E-3</c:v>
                </c:pt>
                <c:pt idx="5">
                  <c:v>1.9921615417976479</c:v>
                </c:pt>
                <c:pt idx="6">
                  <c:v>-5.7179479401349105E-2</c:v>
                </c:pt>
                <c:pt idx="7">
                  <c:v>1.4853943594764625</c:v>
                </c:pt>
                <c:pt idx="8">
                  <c:v>0.1443015817658404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7B-4A21-9438-6A68EF9F3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603057889822597"/>
                  <c:y val="0.49503703703703705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Hoja1!$H$11:$H$19</c:f>
              <c:numCache>
                <c:formatCode>0.00</c:formatCode>
                <c:ptCount val="9"/>
                <c:pt idx="0">
                  <c:v>-0.69897000433601875</c:v>
                </c:pt>
                <c:pt idx="1">
                  <c:v>0.22184874961635639</c:v>
                </c:pt>
                <c:pt idx="2">
                  <c:v>0</c:v>
                </c:pt>
                <c:pt idx="3">
                  <c:v>9.691001300805642E-2</c:v>
                </c:pt>
                <c:pt idx="4">
                  <c:v>0.3979400086720376</c:v>
                </c:pt>
                <c:pt idx="5">
                  <c:v>-0.3979400086720376</c:v>
                </c:pt>
                <c:pt idx="6">
                  <c:v>0.69897000433601886</c:v>
                </c:pt>
                <c:pt idx="7">
                  <c:v>-0.13830269816628143</c:v>
                </c:pt>
                <c:pt idx="8">
                  <c:v>-0.22184874961635639</c:v>
                </c:pt>
              </c:numCache>
            </c:numRef>
          </c:xVal>
          <c:yVal>
            <c:numRef>
              <c:f>Hoja1!$J$11:$J$19</c:f>
              <c:numCache>
                <c:formatCode>0.00</c:formatCode>
                <c:ptCount val="9"/>
                <c:pt idx="0">
                  <c:v>-0.47154510826015755</c:v>
                </c:pt>
                <c:pt idx="1">
                  <c:v>9.8993076969034935E-2</c:v>
                </c:pt>
                <c:pt idx="2">
                  <c:v>-5.1349088691094585E-2</c:v>
                </c:pt>
                <c:pt idx="3">
                  <c:v>-6.2827508388512601E-2</c:v>
                </c:pt>
                <c:pt idx="4">
                  <c:v>0.31999880586871243</c:v>
                </c:pt>
                <c:pt idx="5">
                  <c:v>-0.30231435387245092</c:v>
                </c:pt>
                <c:pt idx="6">
                  <c:v>0.49567605566482098</c:v>
                </c:pt>
                <c:pt idx="7">
                  <c:v>-3.6315767731107347E-2</c:v>
                </c:pt>
                <c:pt idx="8">
                  <c:v>0.13757711163192762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21-44C0-B7B6-3ADBEA21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3922152194211"/>
                  <c:y val="0.56773053368328963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ysClr val="windowText" lastClr="0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Hoja1!$H$11:$H$19</c:f>
              <c:numCache>
                <c:formatCode>0.00</c:formatCode>
                <c:ptCount val="9"/>
                <c:pt idx="0">
                  <c:v>-0.69897000433601875</c:v>
                </c:pt>
                <c:pt idx="1">
                  <c:v>0.22184874961635639</c:v>
                </c:pt>
                <c:pt idx="2">
                  <c:v>0</c:v>
                </c:pt>
                <c:pt idx="3">
                  <c:v>9.691001300805642E-2</c:v>
                </c:pt>
                <c:pt idx="4">
                  <c:v>0.3979400086720376</c:v>
                </c:pt>
                <c:pt idx="5">
                  <c:v>-0.3979400086720376</c:v>
                </c:pt>
                <c:pt idx="6">
                  <c:v>0.69897000433601886</c:v>
                </c:pt>
                <c:pt idx="7">
                  <c:v>-0.13830269816628143</c:v>
                </c:pt>
                <c:pt idx="8">
                  <c:v>-0.22184874961635639</c:v>
                </c:pt>
              </c:numCache>
            </c:numRef>
          </c:xVal>
          <c:yVal>
            <c:numRef>
              <c:f>Hoja1!$I$11:$I$19</c:f>
              <c:numCache>
                <c:formatCode>0.00</c:formatCode>
                <c:ptCount val="9"/>
                <c:pt idx="0">
                  <c:v>-1.9062928867841982</c:v>
                </c:pt>
                <c:pt idx="1">
                  <c:v>8.5655208044791958E-2</c:v>
                </c:pt>
                <c:pt idx="2">
                  <c:v>-1.8839836719673091E-2</c:v>
                </c:pt>
                <c:pt idx="3">
                  <c:v>-1.3308101408239955E-2</c:v>
                </c:pt>
                <c:pt idx="4">
                  <c:v>1.349430709716277</c:v>
                </c:pt>
                <c:pt idx="5">
                  <c:v>-1.3850664559649799</c:v>
                </c:pt>
                <c:pt idx="6">
                  <c:v>2.009817793898256</c:v>
                </c:pt>
                <c:pt idx="7">
                  <c:v>-1.8908766629959665E-2</c:v>
                </c:pt>
                <c:pt idx="8">
                  <c:v>8.7979655139007282E-2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0-4EAF-B375-72F76300E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669234360410832"/>
                  <c:y val="0.47257334499854187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Hoja1!$H$20:$H$28</c:f>
              <c:numCache>
                <c:formatCode>0.00</c:formatCode>
                <c:ptCount val="9"/>
                <c:pt idx="0">
                  <c:v>0.3979400086720376</c:v>
                </c:pt>
                <c:pt idx="1">
                  <c:v>-0.69897000433601875</c:v>
                </c:pt>
                <c:pt idx="2">
                  <c:v>0.22184874961635639</c:v>
                </c:pt>
                <c:pt idx="3">
                  <c:v>0.69897000433601886</c:v>
                </c:pt>
                <c:pt idx="4">
                  <c:v>-9.6910013008056392E-2</c:v>
                </c:pt>
                <c:pt idx="5">
                  <c:v>9.691001300805642E-2</c:v>
                </c:pt>
                <c:pt idx="6">
                  <c:v>-0.22184874961635639</c:v>
                </c:pt>
                <c:pt idx="7">
                  <c:v>0</c:v>
                </c:pt>
                <c:pt idx="8">
                  <c:v>-0.3979400086720376</c:v>
                </c:pt>
              </c:numCache>
            </c:numRef>
          </c:xVal>
          <c:yVal>
            <c:numRef>
              <c:f>Hoja1!$J$20:$J$28</c:f>
              <c:numCache>
                <c:formatCode>0.00</c:formatCode>
                <c:ptCount val="9"/>
                <c:pt idx="0">
                  <c:v>0.27685293592536142</c:v>
                </c:pt>
                <c:pt idx="1">
                  <c:v>-0.46839147010600196</c:v>
                </c:pt>
                <c:pt idx="2">
                  <c:v>-1.2950537349916779E-2</c:v>
                </c:pt>
                <c:pt idx="3">
                  <c:v>0.4497997502978533</c:v>
                </c:pt>
                <c:pt idx="4">
                  <c:v>-2.9152663063832119E-2</c:v>
                </c:pt>
                <c:pt idx="5">
                  <c:v>-7.3515495755436741E-3</c:v>
                </c:pt>
                <c:pt idx="6">
                  <c:v>3.0810411399319913E-2</c:v>
                </c:pt>
                <c:pt idx="7">
                  <c:v>-0.10516219193519963</c:v>
                </c:pt>
                <c:pt idx="8">
                  <c:v>-0.28466967482592598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EF-430E-8CD4-A82FCA3F7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458391690009335"/>
                  <c:y val="0.57169203849518813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Hoja1!$H$20:$H$28</c:f>
              <c:numCache>
                <c:formatCode>0.00</c:formatCode>
                <c:ptCount val="9"/>
                <c:pt idx="0">
                  <c:v>0.3979400086720376</c:v>
                </c:pt>
                <c:pt idx="1">
                  <c:v>-0.69897000433601875</c:v>
                </c:pt>
                <c:pt idx="2">
                  <c:v>0.22184874961635639</c:v>
                </c:pt>
                <c:pt idx="3">
                  <c:v>0.69897000433601886</c:v>
                </c:pt>
                <c:pt idx="4">
                  <c:v>-9.6910013008056392E-2</c:v>
                </c:pt>
                <c:pt idx="5">
                  <c:v>9.691001300805642E-2</c:v>
                </c:pt>
                <c:pt idx="6">
                  <c:v>-0.22184874961635639</c:v>
                </c:pt>
                <c:pt idx="7">
                  <c:v>0</c:v>
                </c:pt>
                <c:pt idx="8">
                  <c:v>-0.3979400086720376</c:v>
                </c:pt>
              </c:numCache>
            </c:numRef>
          </c:xVal>
          <c:yVal>
            <c:numRef>
              <c:f>Hoja1!$I$20:$I$28</c:f>
              <c:numCache>
                <c:formatCode>0.00</c:formatCode>
                <c:ptCount val="9"/>
                <c:pt idx="0">
                  <c:v>1.4499735026942613</c:v>
                </c:pt>
                <c:pt idx="1">
                  <c:v>-1.9065684851432332</c:v>
                </c:pt>
                <c:pt idx="2">
                  <c:v>-7.6355636327358296E-3</c:v>
                </c:pt>
                <c:pt idx="3">
                  <c:v>1.9070081488615003</c:v>
                </c:pt>
                <c:pt idx="4">
                  <c:v>-1.1290827844743988E-2</c:v>
                </c:pt>
                <c:pt idx="5">
                  <c:v>-5.8973327031806725E-3</c:v>
                </c:pt>
                <c:pt idx="6">
                  <c:v>2.0581334803223817E-2</c:v>
                </c:pt>
                <c:pt idx="7">
                  <c:v>-4.4426729974289973E-2</c:v>
                </c:pt>
                <c:pt idx="8">
                  <c:v>-1.5145750549402943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97-49B3-8C50-049EDECAD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603057889822597"/>
                  <c:y val="0.50860542432195976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Hoja1!$H$29:$H$37</c:f>
              <c:numCache>
                <c:formatCode>0.00</c:formatCode>
                <c:ptCount val="9"/>
                <c:pt idx="0">
                  <c:v>-0.22184874961635639</c:v>
                </c:pt>
                <c:pt idx="1">
                  <c:v>-0.69897000433601875</c:v>
                </c:pt>
                <c:pt idx="2">
                  <c:v>9.691001300805642E-2</c:v>
                </c:pt>
                <c:pt idx="3">
                  <c:v>0.22184874961635639</c:v>
                </c:pt>
                <c:pt idx="4">
                  <c:v>0.69897000433601886</c:v>
                </c:pt>
                <c:pt idx="5">
                  <c:v>-0.3979400086720376</c:v>
                </c:pt>
                <c:pt idx="6">
                  <c:v>-9.6910013008056392E-2</c:v>
                </c:pt>
                <c:pt idx="7">
                  <c:v>0</c:v>
                </c:pt>
                <c:pt idx="8">
                  <c:v>0.3979400086720376</c:v>
                </c:pt>
              </c:numCache>
            </c:numRef>
          </c:xVal>
          <c:yVal>
            <c:numRef>
              <c:f>Hoja1!$J$29:$J$37</c:f>
              <c:numCache>
                <c:formatCode>0.00</c:formatCode>
                <c:ptCount val="9"/>
                <c:pt idx="0">
                  <c:v>9.9871270448146407E-2</c:v>
                </c:pt>
                <c:pt idx="1">
                  <c:v>-0.44572959518589134</c:v>
                </c:pt>
                <c:pt idx="2">
                  <c:v>0.12560955476636654</c:v>
                </c:pt>
                <c:pt idx="3">
                  <c:v>-0.16916323317542256</c:v>
                </c:pt>
                <c:pt idx="4">
                  <c:v>0.60568322686067733</c:v>
                </c:pt>
                <c:pt idx="5">
                  <c:v>-0.35101090618607578</c:v>
                </c:pt>
                <c:pt idx="6">
                  <c:v>-1.2668219865404954E-4</c:v>
                </c:pt>
                <c:pt idx="7">
                  <c:v>-0.10654948744824798</c:v>
                </c:pt>
                <c:pt idx="8">
                  <c:v>0.26296907589491125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A5-460A-A4D8-06E6DB91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3922152194211"/>
                  <c:y val="0.56989093030037907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Hoja1!$H$29:$H$37</c:f>
              <c:numCache>
                <c:formatCode>0.00</c:formatCode>
                <c:ptCount val="9"/>
                <c:pt idx="0">
                  <c:v>-0.22184874961635639</c:v>
                </c:pt>
                <c:pt idx="1">
                  <c:v>-0.69897000433601875</c:v>
                </c:pt>
                <c:pt idx="2">
                  <c:v>9.691001300805642E-2</c:v>
                </c:pt>
                <c:pt idx="3">
                  <c:v>0.22184874961635639</c:v>
                </c:pt>
                <c:pt idx="4">
                  <c:v>0.69897000433601886</c:v>
                </c:pt>
                <c:pt idx="5">
                  <c:v>-0.3979400086720376</c:v>
                </c:pt>
                <c:pt idx="6">
                  <c:v>-9.6910013008056392E-2</c:v>
                </c:pt>
                <c:pt idx="7">
                  <c:v>0</c:v>
                </c:pt>
                <c:pt idx="8">
                  <c:v>0.3979400086720376</c:v>
                </c:pt>
              </c:numCache>
            </c:numRef>
          </c:xVal>
          <c:yVal>
            <c:numRef>
              <c:f>Hoja1!$I$29:$I$37</c:f>
              <c:numCache>
                <c:formatCode>0.00</c:formatCode>
                <c:ptCount val="9"/>
                <c:pt idx="0">
                  <c:v>5.6958660658289341E-2</c:v>
                </c:pt>
                <c:pt idx="1">
                  <c:v>-1.8625486017643369</c:v>
                </c:pt>
                <c:pt idx="2">
                  <c:v>6.1912290999304349E-2</c:v>
                </c:pt>
                <c:pt idx="3">
                  <c:v>-0.27553638813331421</c:v>
                </c:pt>
                <c:pt idx="4">
                  <c:v>2.0821062745977796</c:v>
                </c:pt>
                <c:pt idx="5">
                  <c:v>-1.5376067730293408</c:v>
                </c:pt>
                <c:pt idx="6">
                  <c:v>-5.7489890660756219E-3</c:v>
                </c:pt>
                <c:pt idx="7">
                  <c:v>-2.3198184643267908E-2</c:v>
                </c:pt>
                <c:pt idx="8">
                  <c:v>1.5089495815211398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4C-421D-B702-4DF828B61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669234360410832"/>
                  <c:y val="0.4736972878390201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Hoja1!$H$38:$H$46</c:f>
              <c:numCache>
                <c:formatCode>0.00</c:formatCode>
                <c:ptCount val="9"/>
                <c:pt idx="0">
                  <c:v>0.22184874961635639</c:v>
                </c:pt>
                <c:pt idx="1">
                  <c:v>-0.3979400086720376</c:v>
                </c:pt>
                <c:pt idx="2">
                  <c:v>0.69897000433601886</c:v>
                </c:pt>
                <c:pt idx="3">
                  <c:v>0.3979400086720376</c:v>
                </c:pt>
                <c:pt idx="4">
                  <c:v>-9.6910013008056392E-2</c:v>
                </c:pt>
                <c:pt idx="5">
                  <c:v>0</c:v>
                </c:pt>
                <c:pt idx="6">
                  <c:v>-0.69897000433601875</c:v>
                </c:pt>
                <c:pt idx="7">
                  <c:v>-0.22184874961635639</c:v>
                </c:pt>
                <c:pt idx="8">
                  <c:v>9.691001300805642E-2</c:v>
                </c:pt>
              </c:numCache>
            </c:numRef>
          </c:xVal>
          <c:yVal>
            <c:numRef>
              <c:f>Hoja1!$J$38:$J$46</c:f>
              <c:numCache>
                <c:formatCode>0.00</c:formatCode>
                <c:ptCount val="9"/>
                <c:pt idx="0">
                  <c:v>-0.13137356386199758</c:v>
                </c:pt>
                <c:pt idx="1">
                  <c:v>-0.37791399912877655</c:v>
                </c:pt>
                <c:pt idx="2">
                  <c:v>0.44324416574374498</c:v>
                </c:pt>
                <c:pt idx="3">
                  <c:v>0.29698252059608382</c:v>
                </c:pt>
                <c:pt idx="4">
                  <c:v>-2.6778846329462057E-2</c:v>
                </c:pt>
                <c:pt idx="5">
                  <c:v>-9.8778667309015619E-2</c:v>
                </c:pt>
                <c:pt idx="6">
                  <c:v>-0.48809892229963991</c:v>
                </c:pt>
                <c:pt idx="7">
                  <c:v>5.4014540300960701E-2</c:v>
                </c:pt>
                <c:pt idx="8">
                  <c:v>-5.1953191975160497E-2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81-46B9-ADB9-52F8ADE9C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952147525677"/>
                  <c:y val="0.56189734616506271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Hoja1!$H$38:$H$46</c:f>
              <c:numCache>
                <c:formatCode>0.00</c:formatCode>
                <c:ptCount val="9"/>
                <c:pt idx="0">
                  <c:v>0.22184874961635639</c:v>
                </c:pt>
                <c:pt idx="1">
                  <c:v>-0.3979400086720376</c:v>
                </c:pt>
                <c:pt idx="2">
                  <c:v>0.69897000433601886</c:v>
                </c:pt>
                <c:pt idx="3">
                  <c:v>0.3979400086720376</c:v>
                </c:pt>
                <c:pt idx="4">
                  <c:v>-9.6910013008056392E-2</c:v>
                </c:pt>
                <c:pt idx="5">
                  <c:v>0</c:v>
                </c:pt>
                <c:pt idx="6">
                  <c:v>-0.69897000433601875</c:v>
                </c:pt>
                <c:pt idx="7">
                  <c:v>-0.22184874961635639</c:v>
                </c:pt>
                <c:pt idx="8">
                  <c:v>9.691001300805642E-2</c:v>
                </c:pt>
              </c:numCache>
            </c:numRef>
          </c:xVal>
          <c:yVal>
            <c:numRef>
              <c:f>Hoja1!$I$38:$I$46</c:f>
              <c:numCache>
                <c:formatCode>0.00</c:formatCode>
                <c:ptCount val="9"/>
                <c:pt idx="0">
                  <c:v>-0.14676844970624217</c:v>
                </c:pt>
                <c:pt idx="1">
                  <c:v>-1.6911231341340349</c:v>
                </c:pt>
                <c:pt idx="2">
                  <c:v>1.8688222585137233</c:v>
                </c:pt>
                <c:pt idx="3">
                  <c:v>1.5242164321623382</c:v>
                </c:pt>
                <c:pt idx="4">
                  <c:v>-2.5301884305513039E-2</c:v>
                </c:pt>
                <c:pt idx="5">
                  <c:v>-7.7090910257456985E-2</c:v>
                </c:pt>
                <c:pt idx="6">
                  <c:v>-1.893903096721697</c:v>
                </c:pt>
                <c:pt idx="7">
                  <c:v>1.5338819259324808E-2</c:v>
                </c:pt>
                <c:pt idx="8">
                  <c:v>-1.3343630884007498E-2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9-4AF7-AB4E-34AC10D35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669234360410832"/>
                  <c:y val="0.47965587634878976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Hoja1!$H$47:$H$55</c:f>
              <c:numCache>
                <c:formatCode>0.00</c:formatCode>
                <c:ptCount val="9"/>
                <c:pt idx="0">
                  <c:v>-9.6910013008056392E-2</c:v>
                </c:pt>
                <c:pt idx="1">
                  <c:v>0.69897000433601886</c:v>
                </c:pt>
                <c:pt idx="2">
                  <c:v>0.22184874961635639</c:v>
                </c:pt>
                <c:pt idx="3">
                  <c:v>0</c:v>
                </c:pt>
                <c:pt idx="4">
                  <c:v>-0.22184874961635639</c:v>
                </c:pt>
                <c:pt idx="5">
                  <c:v>-0.69897000433601875</c:v>
                </c:pt>
                <c:pt idx="6">
                  <c:v>0.3979400086720376</c:v>
                </c:pt>
                <c:pt idx="7">
                  <c:v>9.691001300805642E-2</c:v>
                </c:pt>
                <c:pt idx="8">
                  <c:v>-0.3979400086720376</c:v>
                </c:pt>
              </c:numCache>
            </c:numRef>
          </c:xVal>
          <c:yVal>
            <c:numRef>
              <c:f>Hoja1!$J$47:$J$55</c:f>
              <c:numCache>
                <c:formatCode>0.00</c:formatCode>
                <c:ptCount val="9"/>
                <c:pt idx="0">
                  <c:v>-6.7893158771720849E-2</c:v>
                </c:pt>
                <c:pt idx="1">
                  <c:v>0.45304149790866982</c:v>
                </c:pt>
                <c:pt idx="2">
                  <c:v>-0.14854583717025951</c:v>
                </c:pt>
                <c:pt idx="3">
                  <c:v>1.3930609481839811E-2</c:v>
                </c:pt>
                <c:pt idx="4">
                  <c:v>-4.075654333419166E-2</c:v>
                </c:pt>
                <c:pt idx="5">
                  <c:v>-0.56502724344575039</c:v>
                </c:pt>
                <c:pt idx="6">
                  <c:v>0.25941676674355751</c:v>
                </c:pt>
                <c:pt idx="7">
                  <c:v>7.1925131417852495E-4</c:v>
                </c:pt>
                <c:pt idx="8">
                  <c:v>-0.26487831451042759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C5-4D44-A20B-DB47D97B6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952147525677"/>
                  <c:y val="0.5586468358121901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Hoja1!$H$47:$H$55</c:f>
              <c:numCache>
                <c:formatCode>0.00</c:formatCode>
                <c:ptCount val="9"/>
                <c:pt idx="0">
                  <c:v>-9.6910013008056392E-2</c:v>
                </c:pt>
                <c:pt idx="1">
                  <c:v>0.69897000433601886</c:v>
                </c:pt>
                <c:pt idx="2">
                  <c:v>0.22184874961635639</c:v>
                </c:pt>
                <c:pt idx="3">
                  <c:v>0</c:v>
                </c:pt>
                <c:pt idx="4">
                  <c:v>-0.22184874961635639</c:v>
                </c:pt>
                <c:pt idx="5">
                  <c:v>-0.69897000433601875</c:v>
                </c:pt>
                <c:pt idx="6">
                  <c:v>0.3979400086720376</c:v>
                </c:pt>
                <c:pt idx="7">
                  <c:v>9.691001300805642E-2</c:v>
                </c:pt>
                <c:pt idx="8">
                  <c:v>-0.3979400086720376</c:v>
                </c:pt>
              </c:numCache>
            </c:numRef>
          </c:xVal>
          <c:yVal>
            <c:numRef>
              <c:f>Hoja1!$I$47:$I$55</c:f>
              <c:numCache>
                <c:formatCode>0.00</c:formatCode>
                <c:ptCount val="9"/>
                <c:pt idx="0">
                  <c:v>-2.003243483486894E-2</c:v>
                </c:pt>
                <c:pt idx="1">
                  <c:v>1.8056599749182467</c:v>
                </c:pt>
                <c:pt idx="2">
                  <c:v>-0.214251967032829</c:v>
                </c:pt>
                <c:pt idx="3">
                  <c:v>2.8897835317835418E-2</c:v>
                </c:pt>
                <c:pt idx="4">
                  <c:v>-2.4778875639706797E-2</c:v>
                </c:pt>
                <c:pt idx="5">
                  <c:v>-2.0358869469788607</c:v>
                </c:pt>
                <c:pt idx="6">
                  <c:v>1.3786719138498176</c:v>
                </c:pt>
                <c:pt idx="7">
                  <c:v>1.7888630347422264E-3</c:v>
                </c:pt>
                <c:pt idx="8">
                  <c:v>-1.1882246383955561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F3-4004-8D13-81B6BD9F6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  <c:max val="3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861928104575164"/>
                  <c:y val="0.47831087780694082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Hoja1!$H$56:$H$64</c:f>
              <c:numCache>
                <c:formatCode>0.00</c:formatCode>
                <c:ptCount val="9"/>
                <c:pt idx="0">
                  <c:v>9.691001300805642E-2</c:v>
                </c:pt>
                <c:pt idx="1">
                  <c:v>0</c:v>
                </c:pt>
                <c:pt idx="2">
                  <c:v>-9.6910013008056392E-2</c:v>
                </c:pt>
                <c:pt idx="3">
                  <c:v>-0.69897000433601875</c:v>
                </c:pt>
                <c:pt idx="4">
                  <c:v>-0.22184874961635639</c:v>
                </c:pt>
                <c:pt idx="5">
                  <c:v>0.69897000433601886</c:v>
                </c:pt>
                <c:pt idx="6">
                  <c:v>-0.3979400086720376</c:v>
                </c:pt>
                <c:pt idx="7">
                  <c:v>0.3979400086720376</c:v>
                </c:pt>
                <c:pt idx="8">
                  <c:v>0.22184874961635639</c:v>
                </c:pt>
              </c:numCache>
            </c:numRef>
          </c:xVal>
          <c:yVal>
            <c:numRef>
              <c:f>Hoja1!$J$56:$J$64</c:f>
              <c:numCache>
                <c:formatCode>0.00</c:formatCode>
                <c:ptCount val="9"/>
                <c:pt idx="0">
                  <c:v>-2.3941364264418279E-2</c:v>
                </c:pt>
                <c:pt idx="1">
                  <c:v>0.10093936182095863</c:v>
                </c:pt>
                <c:pt idx="2">
                  <c:v>-1.1493028066023741E-2</c:v>
                </c:pt>
                <c:pt idx="3">
                  <c:v>-0.33565198133927804</c:v>
                </c:pt>
                <c:pt idx="4">
                  <c:v>-1.4304694492214162E-2</c:v>
                </c:pt>
                <c:pt idx="5">
                  <c:v>0.44219625435417853</c:v>
                </c:pt>
                <c:pt idx="6">
                  <c:v>-0.29425529421010121</c:v>
                </c:pt>
                <c:pt idx="7">
                  <c:v>0.27955918574785515</c:v>
                </c:pt>
                <c:pt idx="8">
                  <c:v>2.016657403742033E-2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9A-48E9-BB32-80F121C9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65108543417367"/>
                  <c:y val="0.56534791484397784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Hoja1!$H$56:$H$64</c:f>
              <c:numCache>
                <c:formatCode>0.00</c:formatCode>
                <c:ptCount val="9"/>
                <c:pt idx="0">
                  <c:v>9.691001300805642E-2</c:v>
                </c:pt>
                <c:pt idx="1">
                  <c:v>0</c:v>
                </c:pt>
                <c:pt idx="2">
                  <c:v>-9.6910013008056392E-2</c:v>
                </c:pt>
                <c:pt idx="3">
                  <c:v>-0.69897000433601875</c:v>
                </c:pt>
                <c:pt idx="4">
                  <c:v>-0.22184874961635639</c:v>
                </c:pt>
                <c:pt idx="5">
                  <c:v>0.69897000433601886</c:v>
                </c:pt>
                <c:pt idx="6">
                  <c:v>-0.3979400086720376</c:v>
                </c:pt>
                <c:pt idx="7">
                  <c:v>0.3979400086720376</c:v>
                </c:pt>
                <c:pt idx="8">
                  <c:v>0.22184874961635639</c:v>
                </c:pt>
              </c:numCache>
            </c:numRef>
          </c:xVal>
          <c:yVal>
            <c:numRef>
              <c:f>Hoja1!$I$56:$I$64</c:f>
              <c:numCache>
                <c:formatCode>0.00</c:formatCode>
                <c:ptCount val="9"/>
                <c:pt idx="0">
                  <c:v>-3.1382677430175634E-3</c:v>
                </c:pt>
                <c:pt idx="1">
                  <c:v>6.5675156266293111E-2</c:v>
                </c:pt>
                <c:pt idx="2">
                  <c:v>-7.6166641246939153E-3</c:v>
                </c:pt>
                <c:pt idx="3">
                  <c:v>-1.6406261849899395</c:v>
                </c:pt>
                <c:pt idx="4">
                  <c:v>-4.7131412005410947E-3</c:v>
                </c:pt>
                <c:pt idx="5">
                  <c:v>1.8959009499442265</c:v>
                </c:pt>
                <c:pt idx="6">
                  <c:v>-1.3446962267860318</c:v>
                </c:pt>
                <c:pt idx="7">
                  <c:v>1.4860662812087657</c:v>
                </c:pt>
                <c:pt idx="8">
                  <c:v>2.9391992170249664E-2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6C-4175-83B2-6658C5358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861928104575164"/>
                  <c:y val="0.4991146106736658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Hoja1!$H$65:$H$73</c:f>
              <c:numCache>
                <c:formatCode>0.00</c:formatCode>
                <c:ptCount val="9"/>
                <c:pt idx="0">
                  <c:v>-0.69897000433601875</c:v>
                </c:pt>
                <c:pt idx="1">
                  <c:v>-0.22184874961635639</c:v>
                </c:pt>
                <c:pt idx="2">
                  <c:v>0.69897000433601886</c:v>
                </c:pt>
                <c:pt idx="3">
                  <c:v>9.691001300805642E-2</c:v>
                </c:pt>
                <c:pt idx="4">
                  <c:v>0</c:v>
                </c:pt>
                <c:pt idx="5">
                  <c:v>0.3979400086720376</c:v>
                </c:pt>
                <c:pt idx="6">
                  <c:v>-9.6910013008056392E-2</c:v>
                </c:pt>
                <c:pt idx="7">
                  <c:v>-0.3979400086720376</c:v>
                </c:pt>
                <c:pt idx="8">
                  <c:v>0.22184874961635639</c:v>
                </c:pt>
              </c:numCache>
            </c:numRef>
          </c:xVal>
          <c:yVal>
            <c:numRef>
              <c:f>Hoja1!$J$65:$J$73</c:f>
              <c:numCache>
                <c:formatCode>0.00</c:formatCode>
                <c:ptCount val="9"/>
                <c:pt idx="0">
                  <c:v>-0.45916610920862688</c:v>
                </c:pt>
                <c:pt idx="1">
                  <c:v>1.7857590668566653E-2</c:v>
                </c:pt>
                <c:pt idx="2">
                  <c:v>0.4696736339300463</c:v>
                </c:pt>
                <c:pt idx="3">
                  <c:v>-1.3720489091961788E-2</c:v>
                </c:pt>
                <c:pt idx="4">
                  <c:v>-0.10091117175867527</c:v>
                </c:pt>
                <c:pt idx="5">
                  <c:v>0.33099335702104138</c:v>
                </c:pt>
                <c:pt idx="6">
                  <c:v>0.12855761762489412</c:v>
                </c:pt>
                <c:pt idx="7">
                  <c:v>-0.30424704929812252</c:v>
                </c:pt>
                <c:pt idx="8">
                  <c:v>-3.039738148113906E-2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FE-4517-AA3F-D185AAE0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952147525677"/>
                  <c:y val="0.56578302712160977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Hoja1!$H$65:$H$73</c:f>
              <c:numCache>
                <c:formatCode>0.00</c:formatCode>
                <c:ptCount val="9"/>
                <c:pt idx="0">
                  <c:v>-0.69897000433601875</c:v>
                </c:pt>
                <c:pt idx="1">
                  <c:v>-0.22184874961635639</c:v>
                </c:pt>
                <c:pt idx="2">
                  <c:v>0.69897000433601886</c:v>
                </c:pt>
                <c:pt idx="3">
                  <c:v>9.691001300805642E-2</c:v>
                </c:pt>
                <c:pt idx="4">
                  <c:v>0</c:v>
                </c:pt>
                <c:pt idx="5">
                  <c:v>0.3979400086720376</c:v>
                </c:pt>
                <c:pt idx="6">
                  <c:v>-9.6910013008056392E-2</c:v>
                </c:pt>
                <c:pt idx="7">
                  <c:v>-0.3979400086720376</c:v>
                </c:pt>
                <c:pt idx="8">
                  <c:v>0.22184874961635639</c:v>
                </c:pt>
              </c:numCache>
            </c:numRef>
          </c:xVal>
          <c:yVal>
            <c:numRef>
              <c:f>Hoja1!$I$65:$I$73</c:f>
              <c:numCache>
                <c:formatCode>0.00</c:formatCode>
                <c:ptCount val="9"/>
                <c:pt idx="0">
                  <c:v>-1.8607610640356833</c:v>
                </c:pt>
                <c:pt idx="1">
                  <c:v>-1.2817405533764737E-3</c:v>
                </c:pt>
                <c:pt idx="2">
                  <c:v>1.8950435413724576</c:v>
                </c:pt>
                <c:pt idx="3">
                  <c:v>4.2820237666589753E-3</c:v>
                </c:pt>
                <c:pt idx="4">
                  <c:v>-7.2541661374053462E-2</c:v>
                </c:pt>
                <c:pt idx="5">
                  <c:v>1.3417119712842225</c:v>
                </c:pt>
                <c:pt idx="6">
                  <c:v>0.11490398838600301</c:v>
                </c:pt>
                <c:pt idx="7">
                  <c:v>-1.4709755007369389</c:v>
                </c:pt>
                <c:pt idx="8">
                  <c:v>-6.168506583408122E-3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EB-4104-B355-CFB2365E1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410364145658264"/>
                  <c:y val="0.45296179644211138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Hoja1!$H$74:$H$82</c:f>
              <c:numCache>
                <c:formatCode>0.00</c:formatCode>
                <c:ptCount val="9"/>
                <c:pt idx="0">
                  <c:v>9.691001300805642E-2</c:v>
                </c:pt>
                <c:pt idx="1">
                  <c:v>0</c:v>
                </c:pt>
                <c:pt idx="2">
                  <c:v>-9.6910013008056392E-2</c:v>
                </c:pt>
                <c:pt idx="3">
                  <c:v>0.3979400086720376</c:v>
                </c:pt>
                <c:pt idx="4">
                  <c:v>-0.3979400086720376</c:v>
                </c:pt>
                <c:pt idx="5">
                  <c:v>-0.22184874961635639</c:v>
                </c:pt>
                <c:pt idx="6">
                  <c:v>0.22184874961635639</c:v>
                </c:pt>
                <c:pt idx="7">
                  <c:v>0.69897000433601886</c:v>
                </c:pt>
                <c:pt idx="8">
                  <c:v>-0.69897000433601875</c:v>
                </c:pt>
              </c:numCache>
            </c:numRef>
          </c:xVal>
          <c:yVal>
            <c:numRef>
              <c:f>Hoja1!$J$74:$J$82</c:f>
              <c:numCache>
                <c:formatCode>0.00</c:formatCode>
                <c:ptCount val="9"/>
                <c:pt idx="0">
                  <c:v>-4.3773859866172153E-2</c:v>
                </c:pt>
                <c:pt idx="1">
                  <c:v>-6.8989556270073762E-2</c:v>
                </c:pt>
                <c:pt idx="2">
                  <c:v>1.5823482191894871E-2</c:v>
                </c:pt>
                <c:pt idx="3">
                  <c:v>0.21608084706385369</c:v>
                </c:pt>
                <c:pt idx="4">
                  <c:v>-0.2977934274069709</c:v>
                </c:pt>
                <c:pt idx="5">
                  <c:v>7.0456323839341653E-2</c:v>
                </c:pt>
                <c:pt idx="6">
                  <c:v>-5.7803406521475705E-2</c:v>
                </c:pt>
                <c:pt idx="7">
                  <c:v>0.3637618471890513</c:v>
                </c:pt>
                <c:pt idx="8">
                  <c:v>-0.36309013667690215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C-49C0-A2CC-E89FC0828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→</a:t>
                </a:r>
                <a:r>
                  <a:rPr lang="es-MX" sz="900" b="1" i="1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''</a:t>
                </a:r>
                <a:r>
                  <a:rPr lang="es-MX" sz="900" b="1" i="0" u="none" strike="noStrike" kern="1200" baseline="-25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7.8425219827934767E-3"/>
              <c:y val="0.1006314871540954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05987394957984"/>
          <c:y val="5.6729075532225136E-2"/>
          <c:w val="0.75240429505135387"/>
          <c:h val="0.7606792929292929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19952147525677"/>
                  <c:y val="0.56133100029163019"/>
                </c:manualLayout>
              </c:layout>
              <c:numFmt formatCode="#,##0.00" sourceLinked="0"/>
              <c:spPr>
                <a:solidFill>
                  <a:schemeClr val="bg1">
                    <a:alpha val="5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s-MX"/>
                </a:p>
              </c:txPr>
            </c:trendlineLbl>
          </c:trendline>
          <c:xVal>
            <c:numRef>
              <c:f>Hoja1!$H$74:$H$82</c:f>
              <c:numCache>
                <c:formatCode>0.00</c:formatCode>
                <c:ptCount val="9"/>
                <c:pt idx="0">
                  <c:v>9.691001300805642E-2</c:v>
                </c:pt>
                <c:pt idx="1">
                  <c:v>0</c:v>
                </c:pt>
                <c:pt idx="2">
                  <c:v>-9.6910013008056392E-2</c:v>
                </c:pt>
                <c:pt idx="3">
                  <c:v>0.3979400086720376</c:v>
                </c:pt>
                <c:pt idx="4">
                  <c:v>-0.3979400086720376</c:v>
                </c:pt>
                <c:pt idx="5">
                  <c:v>-0.22184874961635639</c:v>
                </c:pt>
                <c:pt idx="6">
                  <c:v>0.22184874961635639</c:v>
                </c:pt>
                <c:pt idx="7">
                  <c:v>0.69897000433601886</c:v>
                </c:pt>
                <c:pt idx="8">
                  <c:v>-0.69897000433601875</c:v>
                </c:pt>
              </c:numCache>
            </c:numRef>
          </c:xVal>
          <c:yVal>
            <c:numRef>
              <c:f>Hoja1!$I$74:$I$82</c:f>
              <c:numCache>
                <c:formatCode>0.00</c:formatCode>
                <c:ptCount val="9"/>
                <c:pt idx="0">
                  <c:v>-1.0376127939140821E-2</c:v>
                </c:pt>
                <c:pt idx="1">
                  <c:v>-3.8115868095015229E-2</c:v>
                </c:pt>
                <c:pt idx="2">
                  <c:v>2.557704338146075E-3</c:v>
                </c:pt>
                <c:pt idx="3">
                  <c:v>1.2453102472929694</c:v>
                </c:pt>
                <c:pt idx="4">
                  <c:v>-1.5211053943640602</c:v>
                </c:pt>
                <c:pt idx="5">
                  <c:v>1.5672488552967278E-2</c:v>
                </c:pt>
                <c:pt idx="6">
                  <c:v>-2.5569354824785038E-2</c:v>
                </c:pt>
                <c:pt idx="7">
                  <c:v>1.7909983655457404</c:v>
                </c:pt>
                <c:pt idx="8">
                  <c:v>-1.8152790695411065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10-4473-BF55-EB4347010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0340032"/>
        <c:axId val="1470314464"/>
      </c:scatterChart>
      <c:valAx>
        <c:axId val="1470340032"/>
        <c:scaling>
          <c:orientation val="minMax"/>
          <c:max val="3"/>
          <c:min val="-3"/>
        </c:scaling>
        <c:delete val="0"/>
        <c:axPos val="b"/>
        <c:title>
          <c:tx>
            <c:rich>
              <a:bodyPr rot="0" spcFirstLastPara="1" vertOverflow="ellipsis" vert="horz" wrap="square" anchor="b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log(r1/r2)</a:t>
                </a:r>
              </a:p>
            </c:rich>
          </c:tx>
          <c:layout>
            <c:manualLayout>
              <c:xMode val="edge"/>
              <c:yMode val="edge"/>
              <c:x val="0.40057642206963473"/>
              <c:y val="0.9096560606060606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14464"/>
        <c:crosses val="autoZero"/>
        <c:crossBetween val="midCat"/>
        <c:majorUnit val="1"/>
      </c:valAx>
      <c:valAx>
        <c:axId val="1470314464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t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log(M1/</a:t>
                </a:r>
                <a:r>
                  <a:rPr lang="es-MX"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M2</a:t>
                </a:r>
                <a:r>
                  <a:rPr lang="es-MX" sz="900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3125583566760094E-4"/>
              <c:y val="0.2561872265966753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MX"/>
          </a:p>
        </c:txPr>
        <c:crossAx val="1470340032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211666</xdr:colOff>
      <xdr:row>1</xdr:row>
      <xdr:rowOff>0</xdr:rowOff>
    </xdr:from>
    <xdr:to>
      <xdr:col>15</xdr:col>
      <xdr:colOff>401266</xdr:colOff>
      <xdr:row>9</xdr:row>
      <xdr:rowOff>185057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6D49FA-F076-4990-AEFC-0E38F3739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10583</xdr:colOff>
      <xdr:row>1</xdr:row>
      <xdr:rowOff>0</xdr:rowOff>
    </xdr:from>
    <xdr:to>
      <xdr:col>13</xdr:col>
      <xdr:colOff>200182</xdr:colOff>
      <xdr:row>9</xdr:row>
      <xdr:rowOff>185057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AB60FCC-33D5-41ED-ACEF-0CAC127FF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201083</xdr:colOff>
      <xdr:row>10</xdr:row>
      <xdr:rowOff>0</xdr:rowOff>
    </xdr:from>
    <xdr:to>
      <xdr:col>15</xdr:col>
      <xdr:colOff>390683</xdr:colOff>
      <xdr:row>18</xdr:row>
      <xdr:rowOff>185058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0A33530-2B02-4E12-A51E-6E2C7323D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13</xdr:col>
      <xdr:colOff>189599</xdr:colOff>
      <xdr:row>18</xdr:row>
      <xdr:rowOff>185058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B29BB4A-B8B0-4693-B837-48FD20606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201083</xdr:colOff>
      <xdr:row>19</xdr:row>
      <xdr:rowOff>0</xdr:rowOff>
    </xdr:from>
    <xdr:to>
      <xdr:col>15</xdr:col>
      <xdr:colOff>390683</xdr:colOff>
      <xdr:row>27</xdr:row>
      <xdr:rowOff>185057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C1AA24C-8C4C-42EF-A766-F1E5C05BB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19</xdr:row>
      <xdr:rowOff>0</xdr:rowOff>
    </xdr:from>
    <xdr:to>
      <xdr:col>13</xdr:col>
      <xdr:colOff>189599</xdr:colOff>
      <xdr:row>27</xdr:row>
      <xdr:rowOff>185057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5604471A-32E6-4A65-9A73-874849B15F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201083</xdr:colOff>
      <xdr:row>28</xdr:row>
      <xdr:rowOff>0</xdr:rowOff>
    </xdr:from>
    <xdr:to>
      <xdr:col>15</xdr:col>
      <xdr:colOff>390683</xdr:colOff>
      <xdr:row>36</xdr:row>
      <xdr:rowOff>185057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E10C3828-3A8A-4A43-AD40-3233C6EC5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13</xdr:col>
      <xdr:colOff>189599</xdr:colOff>
      <xdr:row>36</xdr:row>
      <xdr:rowOff>185057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F5ABE77-3D31-46C3-9B92-919B2421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201083</xdr:colOff>
      <xdr:row>37</xdr:row>
      <xdr:rowOff>0</xdr:rowOff>
    </xdr:from>
    <xdr:to>
      <xdr:col>15</xdr:col>
      <xdr:colOff>390683</xdr:colOff>
      <xdr:row>45</xdr:row>
      <xdr:rowOff>185058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E668162-8688-4790-AE62-75DA1507A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13</xdr:col>
      <xdr:colOff>189599</xdr:colOff>
      <xdr:row>45</xdr:row>
      <xdr:rowOff>185058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510513E7-C135-4A06-A50B-A8C3B5FBA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13</xdr:col>
      <xdr:colOff>201083</xdr:colOff>
      <xdr:row>46</xdr:row>
      <xdr:rowOff>0</xdr:rowOff>
    </xdr:from>
    <xdr:to>
      <xdr:col>15</xdr:col>
      <xdr:colOff>390683</xdr:colOff>
      <xdr:row>54</xdr:row>
      <xdr:rowOff>185057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F49EFB-166F-4253-8C96-0056BBB00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11</xdr:col>
      <xdr:colOff>0</xdr:colOff>
      <xdr:row>46</xdr:row>
      <xdr:rowOff>0</xdr:rowOff>
    </xdr:from>
    <xdr:to>
      <xdr:col>13</xdr:col>
      <xdr:colOff>189599</xdr:colOff>
      <xdr:row>54</xdr:row>
      <xdr:rowOff>185057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EA642E7-8BD1-4F29-927A-F9A6513137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13</xdr:col>
      <xdr:colOff>201083</xdr:colOff>
      <xdr:row>55</xdr:row>
      <xdr:rowOff>0</xdr:rowOff>
    </xdr:from>
    <xdr:to>
      <xdr:col>15</xdr:col>
      <xdr:colOff>390683</xdr:colOff>
      <xdr:row>63</xdr:row>
      <xdr:rowOff>185057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01EAFD-B32E-4AEF-A6D0-F1F892C14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11</xdr:col>
      <xdr:colOff>0</xdr:colOff>
      <xdr:row>55</xdr:row>
      <xdr:rowOff>0</xdr:rowOff>
    </xdr:from>
    <xdr:to>
      <xdr:col>13</xdr:col>
      <xdr:colOff>189599</xdr:colOff>
      <xdr:row>63</xdr:row>
      <xdr:rowOff>185057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FB1FE1-0B1A-4729-89F5-14E01DEF7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13</xdr:col>
      <xdr:colOff>201083</xdr:colOff>
      <xdr:row>64</xdr:row>
      <xdr:rowOff>0</xdr:rowOff>
    </xdr:from>
    <xdr:to>
      <xdr:col>15</xdr:col>
      <xdr:colOff>390683</xdr:colOff>
      <xdr:row>72</xdr:row>
      <xdr:rowOff>185057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52C9C6-8033-4FBB-B749-CF8B240B7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11</xdr:col>
      <xdr:colOff>0</xdr:colOff>
      <xdr:row>64</xdr:row>
      <xdr:rowOff>0</xdr:rowOff>
    </xdr:from>
    <xdr:to>
      <xdr:col>13</xdr:col>
      <xdr:colOff>189599</xdr:colOff>
      <xdr:row>72</xdr:row>
      <xdr:rowOff>185057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4E0D3E5-841B-4DE2-BD65-C0C4C022D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201083</xdr:colOff>
      <xdr:row>73</xdr:row>
      <xdr:rowOff>0</xdr:rowOff>
    </xdr:from>
    <xdr:to>
      <xdr:col>15</xdr:col>
      <xdr:colOff>390683</xdr:colOff>
      <xdr:row>81</xdr:row>
      <xdr:rowOff>185058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B2653EA-B9ED-4492-B732-DC23AC66B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11</xdr:col>
      <xdr:colOff>0</xdr:colOff>
      <xdr:row>73</xdr:row>
      <xdr:rowOff>0</xdr:rowOff>
    </xdr:from>
    <xdr:to>
      <xdr:col>13</xdr:col>
      <xdr:colOff>189599</xdr:colOff>
      <xdr:row>81</xdr:row>
      <xdr:rowOff>185058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25B1AA9-BA63-423A-950B-E0DC57080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A504-3DC8-423B-B7D6-6DC8BC2F569C}">
  <dimension ref="A1:U82"/>
  <sheetViews>
    <sheetView tabSelected="1" zoomScale="70" zoomScaleNormal="70" workbookViewId="0">
      <selection activeCell="S13" sqref="S13"/>
    </sheetView>
  </sheetViews>
  <sheetFormatPr baseColWidth="10" defaultRowHeight="14.4" x14ac:dyDescent="0.3"/>
  <cols>
    <col min="1" max="1" width="5.88671875" bestFit="1" customWidth="1"/>
    <col min="2" max="2" width="9" bestFit="1" customWidth="1"/>
    <col min="3" max="3" width="9.88671875" bestFit="1" customWidth="1"/>
    <col min="5" max="5" width="12" bestFit="1" customWidth="1"/>
    <col min="6" max="6" width="11.88671875" bestFit="1" customWidth="1"/>
    <col min="7" max="7" width="12.77734375" bestFit="1" customWidth="1"/>
    <col min="8" max="8" width="11.5546875" customWidth="1"/>
    <col min="9" max="9" width="13.77734375" bestFit="1" customWidth="1"/>
    <col min="10" max="10" width="23.5546875" bestFit="1" customWidth="1"/>
    <col min="16" max="16" width="11.44140625" customWidth="1"/>
  </cols>
  <sheetData>
    <row r="1" spans="1:10" ht="15" thickBot="1" x14ac:dyDescent="0.35">
      <c r="A1" s="3" t="s">
        <v>14</v>
      </c>
      <c r="B1" s="3" t="s">
        <v>27</v>
      </c>
      <c r="C1" s="18" t="s">
        <v>4</v>
      </c>
      <c r="D1" s="3" t="s">
        <v>0</v>
      </c>
      <c r="E1" s="3" t="s">
        <v>1</v>
      </c>
      <c r="F1" s="3" t="s">
        <v>24</v>
      </c>
      <c r="G1" s="19" t="s">
        <v>25</v>
      </c>
      <c r="H1" s="20" t="s">
        <v>3</v>
      </c>
      <c r="I1" s="3" t="s">
        <v>2</v>
      </c>
      <c r="J1" s="3" t="s">
        <v>26</v>
      </c>
    </row>
    <row r="2" spans="1:10" x14ac:dyDescent="0.3">
      <c r="A2" s="24" t="s">
        <v>15</v>
      </c>
      <c r="B2" s="12">
        <v>5</v>
      </c>
      <c r="C2" s="4" t="s">
        <v>7</v>
      </c>
      <c r="D2" s="7">
        <v>0.97091397999999995</v>
      </c>
      <c r="E2" s="7">
        <v>0.92711721999999996</v>
      </c>
      <c r="F2" s="7">
        <v>0.81394364440816203</v>
      </c>
      <c r="G2" s="8">
        <v>0.76394740384559801</v>
      </c>
      <c r="H2" s="14">
        <f>LOG10(100/100)</f>
        <v>0</v>
      </c>
      <c r="I2" s="7">
        <f t="shared" ref="I2:I33" si="0">LOG10(D2/E2)</f>
        <v>2.0046106845542914E-2</v>
      </c>
      <c r="J2" s="8">
        <f t="shared" ref="J2:J33" si="1">LOG10(F2/G2)</f>
        <v>2.7530877022619759E-2</v>
      </c>
    </row>
    <row r="3" spans="1:10" x14ac:dyDescent="0.3">
      <c r="A3" s="25"/>
      <c r="B3" s="5">
        <v>8</v>
      </c>
      <c r="C3" s="4" t="s">
        <v>8</v>
      </c>
      <c r="D3" s="6">
        <v>3.1137999999999999E-2</v>
      </c>
      <c r="E3" s="6">
        <v>0.98102595999999997</v>
      </c>
      <c r="F3" s="6">
        <v>0.38670895540639699</v>
      </c>
      <c r="G3" s="9">
        <v>0.85639912874361201</v>
      </c>
      <c r="H3" s="15">
        <f>LOG10(40/100)</f>
        <v>-0.3979400086720376</v>
      </c>
      <c r="I3" s="6">
        <f t="shared" si="0"/>
        <v>-1.4983897855668682</v>
      </c>
      <c r="J3" s="9">
        <f t="shared" si="1"/>
        <v>-0.34529198721218457</v>
      </c>
    </row>
    <row r="4" spans="1:10" x14ac:dyDescent="0.3">
      <c r="A4" s="25"/>
      <c r="B4" s="5">
        <v>9</v>
      </c>
      <c r="C4" s="4" t="s">
        <v>9</v>
      </c>
      <c r="D4" s="6">
        <v>1.2317069999999999E-2</v>
      </c>
      <c r="E4" s="6">
        <v>0.80245975999999997</v>
      </c>
      <c r="F4" s="6">
        <v>0.28647335078967701</v>
      </c>
      <c r="G4" s="9">
        <v>0.70132931849746805</v>
      </c>
      <c r="H4" s="15">
        <f>LOG10(20/100)</f>
        <v>-0.69897000433601875</v>
      </c>
      <c r="I4" s="6">
        <f t="shared" si="0"/>
        <v>-1.8139158539711335</v>
      </c>
      <c r="J4" s="9">
        <f t="shared" si="1"/>
        <v>-0.38883776670571379</v>
      </c>
    </row>
    <row r="5" spans="1:10" x14ac:dyDescent="0.3">
      <c r="A5" s="25"/>
      <c r="B5" s="5">
        <v>4</v>
      </c>
      <c r="C5" s="4" t="s">
        <v>6</v>
      </c>
      <c r="D5" s="6">
        <v>0.89098807999999996</v>
      </c>
      <c r="E5" s="6">
        <v>0.93395368999999995</v>
      </c>
      <c r="F5" s="6">
        <v>0.74196383807272703</v>
      </c>
      <c r="G5" s="9">
        <v>0.78670760229959202</v>
      </c>
      <c r="H5" s="15">
        <f>LOG10(100/80)</f>
        <v>9.691001300805642E-2</v>
      </c>
      <c r="I5" s="6">
        <f t="shared" si="0"/>
        <v>-2.0453448407690408E-2</v>
      </c>
      <c r="J5" s="9">
        <f t="shared" si="1"/>
        <v>-2.5430607871407288E-2</v>
      </c>
    </row>
    <row r="6" spans="1:10" x14ac:dyDescent="0.3">
      <c r="A6" s="25"/>
      <c r="B6" s="5">
        <v>6</v>
      </c>
      <c r="C6" s="4" t="s">
        <v>10</v>
      </c>
      <c r="D6" s="6">
        <v>0.95012516000000002</v>
      </c>
      <c r="E6" s="6">
        <v>0.97169457999999997</v>
      </c>
      <c r="F6" s="6">
        <v>0.78855877573939304</v>
      </c>
      <c r="G6" s="9">
        <v>0.82290359963296</v>
      </c>
      <c r="H6" s="15">
        <f>LOG10(80/100)</f>
        <v>-9.6910013008056392E-2</v>
      </c>
      <c r="I6" s="6">
        <f t="shared" si="0"/>
        <v>-9.7489616170128093E-3</v>
      </c>
      <c r="J6" s="9">
        <f t="shared" si="1"/>
        <v>-1.8514892773710833E-2</v>
      </c>
    </row>
    <row r="7" spans="1:10" x14ac:dyDescent="0.3">
      <c r="A7" s="25"/>
      <c r="B7" s="5">
        <v>1</v>
      </c>
      <c r="C7" s="4" t="s">
        <v>11</v>
      </c>
      <c r="D7" s="6">
        <v>0.98846844</v>
      </c>
      <c r="E7" s="6">
        <v>1.0064709999999999E-2</v>
      </c>
      <c r="F7" s="6">
        <v>0.91307586127553297</v>
      </c>
      <c r="G7" s="9">
        <v>0.24775288579615301</v>
      </c>
      <c r="H7" s="15">
        <f>LOG10(100/20)</f>
        <v>0.69897000433601886</v>
      </c>
      <c r="I7" s="6">
        <f t="shared" si="0"/>
        <v>1.9921615417976479</v>
      </c>
      <c r="J7" s="9">
        <f t="shared" si="1"/>
        <v>0.56648813981664892</v>
      </c>
    </row>
    <row r="8" spans="1:10" x14ac:dyDescent="0.3">
      <c r="A8" s="25"/>
      <c r="B8" s="5">
        <v>3</v>
      </c>
      <c r="C8" s="4" t="s">
        <v>12</v>
      </c>
      <c r="D8" s="6">
        <v>0.86801318000000005</v>
      </c>
      <c r="E8" s="6">
        <v>0.99016095999999998</v>
      </c>
      <c r="F8" s="6">
        <v>0.73374521124234104</v>
      </c>
      <c r="G8" s="9">
        <v>0.90577334076483196</v>
      </c>
      <c r="H8" s="15">
        <f>LOG10(100/60)</f>
        <v>0.22184874961635639</v>
      </c>
      <c r="I8" s="6">
        <f t="shared" si="0"/>
        <v>-5.7179479401349105E-2</v>
      </c>
      <c r="J8" s="9">
        <f t="shared" si="1"/>
        <v>-9.1474254273291908E-2</v>
      </c>
    </row>
    <row r="9" spans="1:10" x14ac:dyDescent="0.3">
      <c r="A9" s="25"/>
      <c r="B9" s="5">
        <v>2</v>
      </c>
      <c r="C9" s="4" t="s">
        <v>5</v>
      </c>
      <c r="D9" s="6">
        <v>0.98641957999999996</v>
      </c>
      <c r="E9" s="6">
        <v>3.2260219999999999E-2</v>
      </c>
      <c r="F9" s="6">
        <v>0.86895971365510405</v>
      </c>
      <c r="G9" s="9">
        <v>0.38610468901337103</v>
      </c>
      <c r="H9" s="15">
        <f>LOG10(100/40)</f>
        <v>0.3979400086720376</v>
      </c>
      <c r="I9" s="6">
        <f t="shared" si="0"/>
        <v>1.4853943594764625</v>
      </c>
      <c r="J9" s="9">
        <f t="shared" si="1"/>
        <v>0.35229456643119877</v>
      </c>
    </row>
    <row r="10" spans="1:10" ht="15" thickBot="1" x14ac:dyDescent="0.35">
      <c r="A10" s="26"/>
      <c r="B10" s="5">
        <v>7</v>
      </c>
      <c r="C10" s="17" t="s">
        <v>13</v>
      </c>
      <c r="D10" s="6">
        <v>0.95028893999999997</v>
      </c>
      <c r="E10" s="6">
        <v>0.68163847</v>
      </c>
      <c r="F10" s="6">
        <v>0.77637383504131796</v>
      </c>
      <c r="G10" s="9">
        <v>0.66490499999999997</v>
      </c>
      <c r="H10" s="15">
        <f>LOG10(60/100)</f>
        <v>-0.22184874961635639</v>
      </c>
      <c r="I10" s="6">
        <f t="shared" si="0"/>
        <v>0.1443015817658404</v>
      </c>
      <c r="J10" s="9">
        <f t="shared" si="1"/>
        <v>6.7311291787513272E-2</v>
      </c>
    </row>
    <row r="11" spans="1:10" x14ac:dyDescent="0.3">
      <c r="A11" s="21" t="s">
        <v>16</v>
      </c>
      <c r="B11" s="12">
        <v>9</v>
      </c>
      <c r="C11" s="4" t="s">
        <v>9</v>
      </c>
      <c r="D11" s="7">
        <v>1.2233000000000001E-2</v>
      </c>
      <c r="E11" s="7">
        <v>0.98588410000000004</v>
      </c>
      <c r="F11" s="7">
        <v>0.310838063008187</v>
      </c>
      <c r="G11" s="8">
        <v>0.92061766134387402</v>
      </c>
      <c r="H11" s="14">
        <f>LOG10(20/100)</f>
        <v>-0.69897000433601875</v>
      </c>
      <c r="I11" s="7">
        <f t="shared" si="0"/>
        <v>-1.9062928867841982</v>
      </c>
      <c r="J11" s="8">
        <f t="shared" si="1"/>
        <v>-0.47154510826015755</v>
      </c>
    </row>
    <row r="12" spans="1:10" x14ac:dyDescent="0.3">
      <c r="A12" s="22"/>
      <c r="B12" s="5">
        <v>3</v>
      </c>
      <c r="C12" s="4" t="s">
        <v>12</v>
      </c>
      <c r="D12" s="6">
        <v>0.98632732000000001</v>
      </c>
      <c r="E12" s="6">
        <v>0.80977777799999995</v>
      </c>
      <c r="F12" s="6">
        <v>0.88640890072176903</v>
      </c>
      <c r="G12" s="9">
        <v>0.70573398452532499</v>
      </c>
      <c r="H12" s="15">
        <f>LOG10(100/60)</f>
        <v>0.22184874961635639</v>
      </c>
      <c r="I12" s="6">
        <f t="shared" si="0"/>
        <v>8.5655208044791958E-2</v>
      </c>
      <c r="J12" s="9">
        <f t="shared" si="1"/>
        <v>9.8993076969034935E-2</v>
      </c>
    </row>
    <row r="13" spans="1:10" x14ac:dyDescent="0.3">
      <c r="A13" s="22"/>
      <c r="B13" s="5">
        <v>5</v>
      </c>
      <c r="C13" s="4" t="s">
        <v>7</v>
      </c>
      <c r="D13" s="6">
        <v>0.93726925000000005</v>
      </c>
      <c r="E13" s="6">
        <v>0.97882309000000001</v>
      </c>
      <c r="F13" s="6">
        <v>0.76422177622805099</v>
      </c>
      <c r="G13" s="9">
        <v>0.86013871798486297</v>
      </c>
      <c r="H13" s="15">
        <f>LOG10(100/100)</f>
        <v>0</v>
      </c>
      <c r="I13" s="6">
        <f t="shared" si="0"/>
        <v>-1.8839836719673091E-2</v>
      </c>
      <c r="J13" s="9">
        <f t="shared" si="1"/>
        <v>-5.1349088691094585E-2</v>
      </c>
    </row>
    <row r="14" spans="1:10" x14ac:dyDescent="0.3">
      <c r="A14" s="22"/>
      <c r="B14" s="5">
        <v>4</v>
      </c>
      <c r="C14" s="4" t="s">
        <v>6</v>
      </c>
      <c r="D14" s="6">
        <v>0.95952015000000002</v>
      </c>
      <c r="E14" s="6">
        <v>0.98937788999999998</v>
      </c>
      <c r="F14" s="6">
        <v>0.80574460084824795</v>
      </c>
      <c r="G14" s="9">
        <v>0.93116128817926402</v>
      </c>
      <c r="H14" s="15">
        <f t="shared" ref="H14" si="2">LOG10(100/80)</f>
        <v>9.691001300805642E-2</v>
      </c>
      <c r="I14" s="6">
        <f t="shared" si="0"/>
        <v>-1.3308101408239955E-2</v>
      </c>
      <c r="J14" s="9">
        <f t="shared" si="1"/>
        <v>-6.2827508388512601E-2</v>
      </c>
    </row>
    <row r="15" spans="1:10" x14ac:dyDescent="0.3">
      <c r="A15" s="22"/>
      <c r="B15" s="5">
        <v>2</v>
      </c>
      <c r="C15" s="4" t="s">
        <v>5</v>
      </c>
      <c r="D15" s="6">
        <v>0.98121108999999995</v>
      </c>
      <c r="E15" s="6">
        <v>4.3886580000000001E-2</v>
      </c>
      <c r="F15" s="6">
        <v>0.85340318621418898</v>
      </c>
      <c r="G15" s="9">
        <v>0.40846556891698199</v>
      </c>
      <c r="H15" s="15">
        <f>LOG10(100/40)</f>
        <v>0.3979400086720376</v>
      </c>
      <c r="I15" s="6">
        <f t="shared" si="0"/>
        <v>1.349430709716277</v>
      </c>
      <c r="J15" s="9">
        <f t="shared" si="1"/>
        <v>0.31999880586871243</v>
      </c>
    </row>
    <row r="16" spans="1:10" x14ac:dyDescent="0.3">
      <c r="A16" s="22"/>
      <c r="B16" s="5">
        <v>8</v>
      </c>
      <c r="C16" s="4" t="s">
        <v>8</v>
      </c>
      <c r="D16" s="6">
        <v>3.8907850000000001E-2</v>
      </c>
      <c r="E16" s="6">
        <v>0.94428630000000002</v>
      </c>
      <c r="F16" s="6">
        <v>0.39555473769835597</v>
      </c>
      <c r="G16" s="9">
        <v>0.79345252119708098</v>
      </c>
      <c r="H16" s="15">
        <f>LOG10(40/100)</f>
        <v>-0.3979400086720376</v>
      </c>
      <c r="I16" s="6">
        <f t="shared" si="0"/>
        <v>-1.3850664559649799</v>
      </c>
      <c r="J16" s="9">
        <f t="shared" si="1"/>
        <v>-0.30231435387245092</v>
      </c>
    </row>
    <row r="17" spans="1:21" x14ac:dyDescent="0.3">
      <c r="A17" s="22"/>
      <c r="B17" s="5">
        <v>1</v>
      </c>
      <c r="C17" s="4" t="s">
        <v>11</v>
      </c>
      <c r="D17" s="6">
        <v>0.96607129999999997</v>
      </c>
      <c r="E17" s="6">
        <v>9.4447699999999999E-3</v>
      </c>
      <c r="F17" s="6">
        <v>0.78466878507732996</v>
      </c>
      <c r="G17" s="9">
        <v>0.25061688091369599</v>
      </c>
      <c r="H17" s="15">
        <f>LOG10(100/20)</f>
        <v>0.69897000433601886</v>
      </c>
      <c r="I17" s="6">
        <f t="shared" si="0"/>
        <v>2.009817793898256</v>
      </c>
      <c r="J17" s="9">
        <f t="shared" si="1"/>
        <v>0.49567605566482098</v>
      </c>
    </row>
    <row r="18" spans="1:21" x14ac:dyDescent="0.3">
      <c r="A18" s="22"/>
      <c r="B18" s="5">
        <v>6</v>
      </c>
      <c r="C18" s="4" t="s">
        <v>10</v>
      </c>
      <c r="D18" s="6">
        <v>0.93015727999999998</v>
      </c>
      <c r="E18" s="6">
        <v>0.97155000000000002</v>
      </c>
      <c r="F18" s="6">
        <v>0.74397900226731095</v>
      </c>
      <c r="G18" s="9">
        <v>0.80886574952922796</v>
      </c>
      <c r="H18" s="15">
        <f>LOG10(80/110)</f>
        <v>-0.13830269816628143</v>
      </c>
      <c r="I18" s="6">
        <f t="shared" si="0"/>
        <v>-1.8908766629959665E-2</v>
      </c>
      <c r="J18" s="9">
        <f t="shared" si="1"/>
        <v>-3.6315767731107347E-2</v>
      </c>
    </row>
    <row r="19" spans="1:21" ht="15" thickBot="1" x14ac:dyDescent="0.35">
      <c r="A19" s="22"/>
      <c r="B19" s="5">
        <v>7</v>
      </c>
      <c r="C19" s="17" t="s">
        <v>13</v>
      </c>
      <c r="D19" s="6">
        <v>0.99238767000000006</v>
      </c>
      <c r="E19" s="6">
        <v>0.81040424</v>
      </c>
      <c r="F19" s="6">
        <v>0.93045777793899298</v>
      </c>
      <c r="G19" s="9">
        <v>0.67782808443105802</v>
      </c>
      <c r="H19" s="15">
        <f t="shared" ref="H19" si="3">LOG10(60/100)</f>
        <v>-0.22184874961635639</v>
      </c>
      <c r="I19" s="6">
        <f t="shared" si="0"/>
        <v>8.7979655139007282E-2</v>
      </c>
      <c r="J19" s="9">
        <f t="shared" si="1"/>
        <v>0.13757711163192762</v>
      </c>
    </row>
    <row r="20" spans="1:21" x14ac:dyDescent="0.3">
      <c r="A20" s="21" t="s">
        <v>17</v>
      </c>
      <c r="B20" s="12">
        <v>2</v>
      </c>
      <c r="C20" s="4" t="s">
        <v>5</v>
      </c>
      <c r="D20" s="7">
        <v>0.87317588999999995</v>
      </c>
      <c r="E20" s="7">
        <v>3.0983340000000002E-2</v>
      </c>
      <c r="F20" s="7">
        <v>0.71890703496045805</v>
      </c>
      <c r="G20" s="8">
        <v>0.380031676500241</v>
      </c>
      <c r="H20" s="14">
        <f>LOG10(100/40)</f>
        <v>0.3979400086720376</v>
      </c>
      <c r="I20" s="7">
        <f t="shared" si="0"/>
        <v>1.4499735026942613</v>
      </c>
      <c r="J20" s="8">
        <f t="shared" si="1"/>
        <v>0.27685293592536142</v>
      </c>
      <c r="Q20" s="1"/>
      <c r="S20" s="1"/>
      <c r="T20" s="1"/>
      <c r="U20" s="1"/>
    </row>
    <row r="21" spans="1:21" x14ac:dyDescent="0.3">
      <c r="A21" s="22"/>
      <c r="B21" s="5">
        <v>9</v>
      </c>
      <c r="C21" s="4" t="s">
        <v>9</v>
      </c>
      <c r="D21" s="6">
        <v>1.21954E-2</v>
      </c>
      <c r="E21" s="6">
        <v>0.98347773999999999</v>
      </c>
      <c r="F21" s="6">
        <v>0.284570133004793</v>
      </c>
      <c r="G21" s="9">
        <v>0.83672122721017494</v>
      </c>
      <c r="H21" s="15">
        <f>LOG10(20/100)</f>
        <v>-0.69897000433601875</v>
      </c>
      <c r="I21" s="6">
        <f t="shared" si="0"/>
        <v>-1.9065684851432332</v>
      </c>
      <c r="J21" s="9">
        <f t="shared" si="1"/>
        <v>-0.46839147010600196</v>
      </c>
      <c r="S21" s="2"/>
      <c r="T21" s="2"/>
      <c r="U21" s="2"/>
    </row>
    <row r="22" spans="1:21" x14ac:dyDescent="0.3">
      <c r="A22" s="22"/>
      <c r="B22" s="5">
        <v>3</v>
      </c>
      <c r="C22" s="4" t="s">
        <v>12</v>
      </c>
      <c r="D22" s="6">
        <v>0.96076507</v>
      </c>
      <c r="E22" s="6">
        <v>0.97780615999999998</v>
      </c>
      <c r="F22" s="6">
        <v>0.83844378518475804</v>
      </c>
      <c r="G22" s="9">
        <v>0.86382245098953403</v>
      </c>
      <c r="H22" s="15">
        <f>LOG10(100/60)</f>
        <v>0.22184874961635639</v>
      </c>
      <c r="I22" s="6">
        <f t="shared" si="0"/>
        <v>-7.6355636327358296E-3</v>
      </c>
      <c r="J22" s="9">
        <f t="shared" si="1"/>
        <v>-1.2950537349916779E-2</v>
      </c>
    </row>
    <row r="23" spans="1:21" x14ac:dyDescent="0.3">
      <c r="A23" s="22"/>
      <c r="B23" s="5">
        <v>1</v>
      </c>
      <c r="C23" s="4" t="s">
        <v>11</v>
      </c>
      <c r="D23" s="6">
        <v>0.97197118999999998</v>
      </c>
      <c r="E23" s="6">
        <v>1.2040520000000001E-2</v>
      </c>
      <c r="F23" s="6">
        <v>0.81986653888638406</v>
      </c>
      <c r="G23" s="9">
        <v>0.291033787793677</v>
      </c>
      <c r="H23" s="15">
        <f>LOG10(100/20)</f>
        <v>0.69897000433601886</v>
      </c>
      <c r="I23" s="6">
        <f t="shared" si="0"/>
        <v>1.9070081488615003</v>
      </c>
      <c r="J23" s="9">
        <f t="shared" si="1"/>
        <v>0.4497997502978533</v>
      </c>
    </row>
    <row r="24" spans="1:21" x14ac:dyDescent="0.3">
      <c r="A24" s="22"/>
      <c r="B24" s="5">
        <v>6</v>
      </c>
      <c r="C24" s="4" t="s">
        <v>10</v>
      </c>
      <c r="D24" s="6">
        <v>0.90585135999999999</v>
      </c>
      <c r="E24" s="6">
        <v>0.92971057000000001</v>
      </c>
      <c r="F24" s="6">
        <v>0.73661401787598002</v>
      </c>
      <c r="G24" s="9">
        <v>0.78775767358693205</v>
      </c>
      <c r="H24" s="15">
        <f t="shared" ref="H24" si="4">LOG10(80/100)</f>
        <v>-9.6910013008056392E-2</v>
      </c>
      <c r="I24" s="6">
        <f t="shared" si="0"/>
        <v>-1.1290827844743988E-2</v>
      </c>
      <c r="J24" s="9">
        <f t="shared" si="1"/>
        <v>-2.9152663063832119E-2</v>
      </c>
    </row>
    <row r="25" spans="1:21" x14ac:dyDescent="0.3">
      <c r="A25" s="22"/>
      <c r="B25" s="5">
        <v>4</v>
      </c>
      <c r="C25" s="4" t="s">
        <v>6</v>
      </c>
      <c r="D25" s="6">
        <v>0.90134784000000001</v>
      </c>
      <c r="E25" s="6">
        <v>0.91367081999999999</v>
      </c>
      <c r="F25" s="6">
        <v>0.72331380306235504</v>
      </c>
      <c r="G25" s="9">
        <v>0.73566196430159903</v>
      </c>
      <c r="H25" s="15">
        <f>LOG10(100/80)</f>
        <v>9.691001300805642E-2</v>
      </c>
      <c r="I25" s="6">
        <f t="shared" si="0"/>
        <v>-5.8973327031806725E-3</v>
      </c>
      <c r="J25" s="9">
        <f t="shared" si="1"/>
        <v>-7.3515495755436741E-3</v>
      </c>
    </row>
    <row r="26" spans="1:21" x14ac:dyDescent="0.3">
      <c r="A26" s="22"/>
      <c r="B26" s="5">
        <v>7</v>
      </c>
      <c r="C26" s="4" t="s">
        <v>13</v>
      </c>
      <c r="D26" s="6">
        <v>0.96924642000000005</v>
      </c>
      <c r="E26" s="6">
        <v>0.92438496000000003</v>
      </c>
      <c r="F26" s="6">
        <v>0.81025985655293997</v>
      </c>
      <c r="G26" s="9">
        <v>0.75476875138754396</v>
      </c>
      <c r="H26" s="15">
        <f>LOG10(60/100)</f>
        <v>-0.22184874961635639</v>
      </c>
      <c r="I26" s="6">
        <f t="shared" si="0"/>
        <v>2.0581334803223817E-2</v>
      </c>
      <c r="J26" s="9">
        <f t="shared" si="1"/>
        <v>3.0810411399319913E-2</v>
      </c>
    </row>
    <row r="27" spans="1:21" x14ac:dyDescent="0.3">
      <c r="A27" s="22"/>
      <c r="B27" s="5">
        <v>5</v>
      </c>
      <c r="C27" s="4" t="s">
        <v>7</v>
      </c>
      <c r="D27" s="6">
        <v>0.89436355999999995</v>
      </c>
      <c r="E27" s="6">
        <v>0.99069695000000002</v>
      </c>
      <c r="F27" s="6">
        <v>0.73476650095544804</v>
      </c>
      <c r="G27" s="9">
        <v>0.93607692549801702</v>
      </c>
      <c r="H27" s="15">
        <f>LOG10(100/100)</f>
        <v>0</v>
      </c>
      <c r="I27" s="6">
        <f t="shared" si="0"/>
        <v>-4.4426729974289973E-2</v>
      </c>
      <c r="J27" s="9">
        <f t="shared" si="1"/>
        <v>-0.10516219193519963</v>
      </c>
    </row>
    <row r="28" spans="1:21" ht="15" thickBot="1" x14ac:dyDescent="0.35">
      <c r="A28" s="22"/>
      <c r="B28" s="5">
        <v>8</v>
      </c>
      <c r="C28" s="17" t="s">
        <v>8</v>
      </c>
      <c r="D28" s="6">
        <v>2.8024440000000001E-2</v>
      </c>
      <c r="E28" s="6">
        <v>0.91645679999999996</v>
      </c>
      <c r="F28" s="6">
        <v>0.380259491325111</v>
      </c>
      <c r="G28" s="9">
        <v>0.732402364527167</v>
      </c>
      <c r="H28" s="15">
        <f>LOG10(40/100)</f>
        <v>-0.3979400086720376</v>
      </c>
      <c r="I28" s="6">
        <f t="shared" si="0"/>
        <v>-1.5145750549402943</v>
      </c>
      <c r="J28" s="9">
        <f t="shared" si="1"/>
        <v>-0.28466967482592598</v>
      </c>
    </row>
    <row r="29" spans="1:21" x14ac:dyDescent="0.3">
      <c r="A29" s="21" t="s">
        <v>18</v>
      </c>
      <c r="B29" s="12">
        <v>7</v>
      </c>
      <c r="C29" s="4" t="s">
        <v>13</v>
      </c>
      <c r="D29" s="7">
        <v>0.99021519999999996</v>
      </c>
      <c r="E29" s="7">
        <v>0.86850221000000005</v>
      </c>
      <c r="F29" s="7">
        <v>0.91309367546901599</v>
      </c>
      <c r="G29" s="8">
        <v>0.72551110479351799</v>
      </c>
      <c r="H29" s="14">
        <f>LOG10(60/100)</f>
        <v>-0.22184874961635639</v>
      </c>
      <c r="I29" s="7">
        <f t="shared" si="0"/>
        <v>5.6958660658289341E-2</v>
      </c>
      <c r="J29" s="8">
        <f t="shared" si="1"/>
        <v>9.9871270448146407E-2</v>
      </c>
    </row>
    <row r="30" spans="1:21" x14ac:dyDescent="0.3">
      <c r="A30" s="22"/>
      <c r="B30" s="5">
        <v>9</v>
      </c>
      <c r="C30" s="4" t="s">
        <v>9</v>
      </c>
      <c r="D30" s="6">
        <v>1.3457240000000001E-2</v>
      </c>
      <c r="E30" s="6">
        <v>0.98062870000000002</v>
      </c>
      <c r="F30" s="6">
        <v>0.299368192345628</v>
      </c>
      <c r="G30" s="9">
        <v>0.83547844579602104</v>
      </c>
      <c r="H30" s="15">
        <f>LOG10(20/100)</f>
        <v>-0.69897000433601875</v>
      </c>
      <c r="I30" s="6">
        <f t="shared" si="0"/>
        <v>-1.8625486017643369</v>
      </c>
      <c r="J30" s="9">
        <f t="shared" si="1"/>
        <v>-0.44572959518589134</v>
      </c>
    </row>
    <row r="31" spans="1:21" x14ac:dyDescent="0.3">
      <c r="A31" s="22"/>
      <c r="B31" s="5">
        <v>4</v>
      </c>
      <c r="C31" s="4" t="s">
        <v>6</v>
      </c>
      <c r="D31" s="6">
        <v>0.99123956999999996</v>
      </c>
      <c r="E31" s="6">
        <v>0.85954048999999999</v>
      </c>
      <c r="F31" s="6">
        <v>0.94750932759349404</v>
      </c>
      <c r="G31" s="9">
        <v>0.70953518951220296</v>
      </c>
      <c r="H31" s="15">
        <f>LOG10(100/80)</f>
        <v>9.691001300805642E-2</v>
      </c>
      <c r="I31" s="6">
        <f t="shared" si="0"/>
        <v>6.1912290999304349E-2</v>
      </c>
      <c r="J31" s="9">
        <f t="shared" si="1"/>
        <v>0.12560955476636654</v>
      </c>
    </row>
    <row r="32" spans="1:21" x14ac:dyDescent="0.3">
      <c r="A32" s="22"/>
      <c r="B32" s="5">
        <v>3</v>
      </c>
      <c r="C32" s="4" t="s">
        <v>12</v>
      </c>
      <c r="D32" s="6">
        <v>0.52549389999999996</v>
      </c>
      <c r="E32" s="6">
        <v>0.99106939999999999</v>
      </c>
      <c r="F32" s="6">
        <v>0.62214448936653199</v>
      </c>
      <c r="G32" s="9">
        <v>0.91844782895156896</v>
      </c>
      <c r="H32" s="15">
        <f>LOG10(100/60)</f>
        <v>0.22184874961635639</v>
      </c>
      <c r="I32" s="6">
        <f t="shared" si="0"/>
        <v>-0.27553638813331421</v>
      </c>
      <c r="J32" s="9">
        <f t="shared" si="1"/>
        <v>-0.16916323317542256</v>
      </c>
    </row>
    <row r="33" spans="1:10" x14ac:dyDescent="0.3">
      <c r="A33" s="22"/>
      <c r="B33" s="5">
        <v>1</v>
      </c>
      <c r="C33" s="4" t="s">
        <v>11</v>
      </c>
      <c r="D33" s="6">
        <v>0.98412111000000002</v>
      </c>
      <c r="E33" s="6">
        <v>8.1459600000000007E-3</v>
      </c>
      <c r="F33" s="6">
        <v>0.87266390924891901</v>
      </c>
      <c r="G33" s="9">
        <v>0.216353431796734</v>
      </c>
      <c r="H33" s="15">
        <f>LOG10(100/20)</f>
        <v>0.69897000433601886</v>
      </c>
      <c r="I33" s="6">
        <f t="shared" si="0"/>
        <v>2.0821062745977796</v>
      </c>
      <c r="J33" s="9">
        <f t="shared" si="1"/>
        <v>0.60568322686067733</v>
      </c>
    </row>
    <row r="34" spans="1:10" x14ac:dyDescent="0.3">
      <c r="A34" s="22"/>
      <c r="B34" s="5">
        <v>8</v>
      </c>
      <c r="C34" s="4" t="s">
        <v>8</v>
      </c>
      <c r="D34" s="6">
        <v>2.7675499999999999E-2</v>
      </c>
      <c r="E34" s="6">
        <v>0.95433807000000004</v>
      </c>
      <c r="F34" s="6">
        <v>0.37267028589000001</v>
      </c>
      <c r="G34" s="9">
        <v>0.83624911801615898</v>
      </c>
      <c r="H34" s="15">
        <f>LOG10(40/100)</f>
        <v>-0.3979400086720376</v>
      </c>
      <c r="I34" s="6">
        <f t="shared" ref="I34:I65" si="5">LOG10(D34/E34)</f>
        <v>-1.5376067730293408</v>
      </c>
      <c r="J34" s="9">
        <f t="shared" ref="J34:J65" si="6">LOG10(F34/G34)</f>
        <v>-0.35101090618607578</v>
      </c>
    </row>
    <row r="35" spans="1:10" x14ac:dyDescent="0.3">
      <c r="A35" s="22"/>
      <c r="B35" s="5">
        <v>6</v>
      </c>
      <c r="C35" s="4" t="s">
        <v>10</v>
      </c>
      <c r="D35" s="6">
        <v>0.97063078999999997</v>
      </c>
      <c r="E35" s="6">
        <v>0.98356496999999998</v>
      </c>
      <c r="F35" s="6">
        <v>0.86147161786027504</v>
      </c>
      <c r="G35" s="9">
        <v>0.861722942805908</v>
      </c>
      <c r="H35" s="15">
        <f>LOG10(80/100)</f>
        <v>-9.6910013008056392E-2</v>
      </c>
      <c r="I35" s="6">
        <f t="shared" si="5"/>
        <v>-5.7489890660756219E-3</v>
      </c>
      <c r="J35" s="9">
        <f t="shared" si="6"/>
        <v>-1.2668219865404954E-4</v>
      </c>
    </row>
    <row r="36" spans="1:10" x14ac:dyDescent="0.3">
      <c r="A36" s="22"/>
      <c r="B36" s="5">
        <v>5</v>
      </c>
      <c r="C36" s="4" t="s">
        <v>7</v>
      </c>
      <c r="D36" s="6">
        <v>0.94118807999999998</v>
      </c>
      <c r="E36" s="6">
        <v>0.99282934</v>
      </c>
      <c r="F36" s="6">
        <v>0.76783390819029895</v>
      </c>
      <c r="G36" s="9">
        <v>0.981333838391936</v>
      </c>
      <c r="H36" s="15">
        <f>LOG10(100/100)</f>
        <v>0</v>
      </c>
      <c r="I36" s="6">
        <f t="shared" si="5"/>
        <v>-2.3198184643267908E-2</v>
      </c>
      <c r="J36" s="9">
        <f t="shared" si="6"/>
        <v>-0.10654948744824798</v>
      </c>
    </row>
    <row r="37" spans="1:10" ht="15" thickBot="1" x14ac:dyDescent="0.35">
      <c r="A37" s="22"/>
      <c r="B37" s="5">
        <v>2</v>
      </c>
      <c r="C37" s="17" t="s">
        <v>5</v>
      </c>
      <c r="D37" s="6">
        <v>0.67851452999999995</v>
      </c>
      <c r="E37" s="6">
        <v>2.101888E-2</v>
      </c>
      <c r="F37" s="6">
        <v>0.64558096824854005</v>
      </c>
      <c r="G37" s="9">
        <v>0.35235597714175998</v>
      </c>
      <c r="H37" s="15">
        <f>LOG10(100/40)</f>
        <v>0.3979400086720376</v>
      </c>
      <c r="I37" s="6">
        <f t="shared" si="5"/>
        <v>1.5089495815211398</v>
      </c>
      <c r="J37" s="9">
        <f t="shared" si="6"/>
        <v>0.26296907589491125</v>
      </c>
    </row>
    <row r="38" spans="1:10" x14ac:dyDescent="0.3">
      <c r="A38" s="21" t="s">
        <v>19</v>
      </c>
      <c r="B38" s="12">
        <v>3</v>
      </c>
      <c r="C38" s="4" t="s">
        <v>12</v>
      </c>
      <c r="D38" s="7">
        <v>0.70415510999999997</v>
      </c>
      <c r="E38" s="7">
        <v>0.98727191999999997</v>
      </c>
      <c r="F38" s="7">
        <v>0.67053256095463498</v>
      </c>
      <c r="G38" s="8">
        <v>0.90738884474178605</v>
      </c>
      <c r="H38" s="14">
        <f>LOG10(100/60)</f>
        <v>0.22184874961635639</v>
      </c>
      <c r="I38" s="7">
        <f t="shared" si="5"/>
        <v>-0.14676844970624217</v>
      </c>
      <c r="J38" s="8">
        <f t="shared" si="6"/>
        <v>-0.13137356386199758</v>
      </c>
    </row>
    <row r="39" spans="1:10" x14ac:dyDescent="0.3">
      <c r="A39" s="22"/>
      <c r="B39" s="5">
        <v>8</v>
      </c>
      <c r="C39" s="4" t="s">
        <v>8</v>
      </c>
      <c r="D39" s="6">
        <v>1.9890430000000001E-2</v>
      </c>
      <c r="E39" s="6">
        <v>0.97671375999999999</v>
      </c>
      <c r="F39" s="6">
        <v>0.36142503167786399</v>
      </c>
      <c r="G39" s="9">
        <v>0.86284388757130903</v>
      </c>
      <c r="H39" s="15">
        <f t="shared" ref="H39" si="7">LOG10(40/100)</f>
        <v>-0.3979400086720376</v>
      </c>
      <c r="I39" s="6">
        <f t="shared" si="5"/>
        <v>-1.6911231341340349</v>
      </c>
      <c r="J39" s="9">
        <f t="shared" si="6"/>
        <v>-0.37791399912877655</v>
      </c>
    </row>
    <row r="40" spans="1:10" x14ac:dyDescent="0.3">
      <c r="A40" s="22"/>
      <c r="B40" s="5">
        <v>1</v>
      </c>
      <c r="C40" s="4" t="s">
        <v>11</v>
      </c>
      <c r="D40" s="6">
        <v>0.97050254000000002</v>
      </c>
      <c r="E40" s="6">
        <v>1.312727E-2</v>
      </c>
      <c r="F40" s="6">
        <v>0.82021762742690896</v>
      </c>
      <c r="G40" s="9">
        <v>0.29558672983102302</v>
      </c>
      <c r="H40" s="15">
        <f>LOG10(100/20)</f>
        <v>0.69897000433601886</v>
      </c>
      <c r="I40" s="6">
        <f t="shared" si="5"/>
        <v>1.8688222585137233</v>
      </c>
      <c r="J40" s="9">
        <f t="shared" si="6"/>
        <v>0.44324416574374498</v>
      </c>
    </row>
    <row r="41" spans="1:10" x14ac:dyDescent="0.3">
      <c r="A41" s="22"/>
      <c r="B41" s="5">
        <v>2</v>
      </c>
      <c r="C41" s="4" t="s">
        <v>5</v>
      </c>
      <c r="D41" s="6">
        <v>0.90797103999999995</v>
      </c>
      <c r="E41" s="6">
        <v>2.715536E-2</v>
      </c>
      <c r="F41" s="6">
        <v>0.75008802037600097</v>
      </c>
      <c r="G41" s="9">
        <v>0.37855562938010401</v>
      </c>
      <c r="H41" s="15">
        <f>LOG10(100/40)</f>
        <v>0.3979400086720376</v>
      </c>
      <c r="I41" s="6">
        <f t="shared" si="5"/>
        <v>1.5242164321623382</v>
      </c>
      <c r="J41" s="9">
        <f t="shared" si="6"/>
        <v>0.29698252059608382</v>
      </c>
    </row>
    <row r="42" spans="1:10" x14ac:dyDescent="0.3">
      <c r="A42" s="22"/>
      <c r="B42" s="5">
        <v>6</v>
      </c>
      <c r="C42" s="4" t="s">
        <v>10</v>
      </c>
      <c r="D42" s="6">
        <v>0.88738236999999998</v>
      </c>
      <c r="E42" s="6">
        <v>0.94061669000000003</v>
      </c>
      <c r="F42" s="6">
        <v>0.72633351401590096</v>
      </c>
      <c r="G42" s="9">
        <v>0.77252924634545606</v>
      </c>
      <c r="H42" s="15">
        <f t="shared" ref="H42" si="8">LOG10(80/100)</f>
        <v>-9.6910013008056392E-2</v>
      </c>
      <c r="I42" s="6">
        <f t="shared" si="5"/>
        <v>-2.5301884305513039E-2</v>
      </c>
      <c r="J42" s="9">
        <f t="shared" si="6"/>
        <v>-2.6778846329462057E-2</v>
      </c>
    </row>
    <row r="43" spans="1:10" x14ac:dyDescent="0.3">
      <c r="A43" s="22"/>
      <c r="B43" s="5">
        <v>5</v>
      </c>
      <c r="C43" s="4" t="s">
        <v>7</v>
      </c>
      <c r="D43" s="6">
        <v>0.83132128999999999</v>
      </c>
      <c r="E43" s="6">
        <v>0.99279552999999998</v>
      </c>
      <c r="F43" s="6">
        <v>0.72086095529787497</v>
      </c>
      <c r="G43" s="9">
        <v>0.90496163971262</v>
      </c>
      <c r="H43" s="15">
        <f>LOG10(100/100)</f>
        <v>0</v>
      </c>
      <c r="I43" s="6">
        <f t="shared" si="5"/>
        <v>-7.7090910257456985E-2</v>
      </c>
      <c r="J43" s="9">
        <f t="shared" si="6"/>
        <v>-9.8778667309015619E-2</v>
      </c>
    </row>
    <row r="44" spans="1:10" x14ac:dyDescent="0.3">
      <c r="A44" s="22"/>
      <c r="B44" s="5">
        <v>9</v>
      </c>
      <c r="C44" s="4" t="s">
        <v>9</v>
      </c>
      <c r="D44" s="6">
        <v>1.26E-2</v>
      </c>
      <c r="E44" s="6">
        <v>0.98690111999999997</v>
      </c>
      <c r="F44" s="6">
        <v>0.29202488233583102</v>
      </c>
      <c r="G44" s="9">
        <v>0.898501445046752</v>
      </c>
      <c r="H44" s="15">
        <f>LOG10(20/100)</f>
        <v>-0.69897000433601875</v>
      </c>
      <c r="I44" s="6">
        <f t="shared" si="5"/>
        <v>-1.893903096721697</v>
      </c>
      <c r="J44" s="9">
        <f t="shared" si="6"/>
        <v>-0.48809892229963991</v>
      </c>
    </row>
    <row r="45" spans="1:10" x14ac:dyDescent="0.3">
      <c r="A45" s="22"/>
      <c r="B45" s="5">
        <v>7</v>
      </c>
      <c r="C45" s="4" t="s">
        <v>13</v>
      </c>
      <c r="D45" s="6">
        <v>0.98558283999999996</v>
      </c>
      <c r="E45" s="6">
        <v>0.95138065000000005</v>
      </c>
      <c r="F45" s="6">
        <v>0.89335252997351799</v>
      </c>
      <c r="G45" s="9">
        <v>0.78887525100106604</v>
      </c>
      <c r="H45" s="15">
        <f>LOG10(60/100)</f>
        <v>-0.22184874961635639</v>
      </c>
      <c r="I45" s="6">
        <f t="shared" si="5"/>
        <v>1.5338819259324808E-2</v>
      </c>
      <c r="J45" s="9">
        <f t="shared" si="6"/>
        <v>5.4014540300960701E-2</v>
      </c>
    </row>
    <row r="46" spans="1:10" ht="15" thickBot="1" x14ac:dyDescent="0.35">
      <c r="A46" s="22"/>
      <c r="B46" s="5">
        <v>4</v>
      </c>
      <c r="C46" s="17" t="s">
        <v>6</v>
      </c>
      <c r="D46" s="6">
        <v>0.96220448999999997</v>
      </c>
      <c r="E46" s="6">
        <v>0.99222692999999995</v>
      </c>
      <c r="F46" s="6">
        <v>0.82901998281960998</v>
      </c>
      <c r="G46" s="9">
        <v>0.93436850459265097</v>
      </c>
      <c r="H46" s="15">
        <f>LOG10(100/80)</f>
        <v>9.691001300805642E-2</v>
      </c>
      <c r="I46" s="6">
        <f t="shared" si="5"/>
        <v>-1.3343630884007498E-2</v>
      </c>
      <c r="J46" s="9">
        <f t="shared" si="6"/>
        <v>-5.1953191975160497E-2</v>
      </c>
    </row>
    <row r="47" spans="1:10" x14ac:dyDescent="0.3">
      <c r="A47" s="21" t="s">
        <v>20</v>
      </c>
      <c r="B47" s="12">
        <v>6</v>
      </c>
      <c r="C47" s="4" t="s">
        <v>10</v>
      </c>
      <c r="D47" s="7">
        <v>0.94182920000000003</v>
      </c>
      <c r="E47" s="7">
        <v>0.98628990000000005</v>
      </c>
      <c r="F47" s="7">
        <v>0.79205763054865097</v>
      </c>
      <c r="G47" s="8">
        <v>0.92608306191480705</v>
      </c>
      <c r="H47" s="14">
        <f>LOG10(80/100)</f>
        <v>-9.6910013008056392E-2</v>
      </c>
      <c r="I47" s="7">
        <f t="shared" si="5"/>
        <v>-2.003243483486894E-2</v>
      </c>
      <c r="J47" s="8">
        <f t="shared" si="6"/>
        <v>-6.7893158771720849E-2</v>
      </c>
    </row>
    <row r="48" spans="1:10" x14ac:dyDescent="0.3">
      <c r="A48" s="22"/>
      <c r="B48" s="5">
        <v>1</v>
      </c>
      <c r="C48" s="4" t="s">
        <v>11</v>
      </c>
      <c r="D48" s="6">
        <v>0.98041900000000004</v>
      </c>
      <c r="E48" s="6">
        <v>1.5337399999999999E-2</v>
      </c>
      <c r="F48" s="6">
        <v>0.861221965899028</v>
      </c>
      <c r="G48" s="9">
        <v>0.30344053840777502</v>
      </c>
      <c r="H48" s="15">
        <f>LOG10(100/20)</f>
        <v>0.69897000433601886</v>
      </c>
      <c r="I48" s="6">
        <f t="shared" si="5"/>
        <v>1.8056599749182467</v>
      </c>
      <c r="J48" s="9">
        <f t="shared" si="6"/>
        <v>0.45304149790866982</v>
      </c>
    </row>
    <row r="49" spans="1:10" x14ac:dyDescent="0.3">
      <c r="A49" s="22"/>
      <c r="B49" s="5">
        <v>3</v>
      </c>
      <c r="C49" s="4" t="s">
        <v>12</v>
      </c>
      <c r="D49" s="6">
        <v>0.59347280999999996</v>
      </c>
      <c r="E49" s="6">
        <v>0.97196985000000002</v>
      </c>
      <c r="F49" s="6">
        <v>0.62457448715834196</v>
      </c>
      <c r="G49" s="9">
        <v>0.879285835677724</v>
      </c>
      <c r="H49" s="15">
        <f>LOG10(100/60)</f>
        <v>0.22184874961635639</v>
      </c>
      <c r="I49" s="6">
        <f t="shared" si="5"/>
        <v>-0.214251967032829</v>
      </c>
      <c r="J49" s="9">
        <f t="shared" si="6"/>
        <v>-0.14854583717025951</v>
      </c>
    </row>
    <row r="50" spans="1:10" x14ac:dyDescent="0.3">
      <c r="A50" s="22"/>
      <c r="B50" s="5">
        <v>5</v>
      </c>
      <c r="C50" s="4" t="s">
        <v>7</v>
      </c>
      <c r="D50" s="6">
        <v>0.95451655999999996</v>
      </c>
      <c r="E50" s="6">
        <v>0.89307027000000005</v>
      </c>
      <c r="F50" s="6">
        <v>0.79782585934807104</v>
      </c>
      <c r="G50" s="9">
        <v>0.77264055352976402</v>
      </c>
      <c r="H50" s="15">
        <f>LOG10(100/100)</f>
        <v>0</v>
      </c>
      <c r="I50" s="6">
        <f t="shared" si="5"/>
        <v>2.8897835317835418E-2</v>
      </c>
      <c r="J50" s="9">
        <f t="shared" si="6"/>
        <v>1.3930609481839811E-2</v>
      </c>
    </row>
    <row r="51" spans="1:10" x14ac:dyDescent="0.3">
      <c r="A51" s="22"/>
      <c r="B51" s="5">
        <v>7</v>
      </c>
      <c r="C51" s="4" t="s">
        <v>13</v>
      </c>
      <c r="D51" s="6">
        <v>0.92293177000000004</v>
      </c>
      <c r="E51" s="6">
        <v>0.97712127999999998</v>
      </c>
      <c r="F51" s="6">
        <v>0.74690337324215506</v>
      </c>
      <c r="G51" s="9">
        <v>0.82039114514369904</v>
      </c>
      <c r="H51" s="15">
        <f>LOG10(60/100)</f>
        <v>-0.22184874961635639</v>
      </c>
      <c r="I51" s="6">
        <f t="shared" si="5"/>
        <v>-2.4778875639706797E-2</v>
      </c>
      <c r="J51" s="9">
        <f t="shared" si="6"/>
        <v>-4.075654333419166E-2</v>
      </c>
    </row>
    <row r="52" spans="1:10" x14ac:dyDescent="0.3">
      <c r="A52" s="22"/>
      <c r="B52" s="5">
        <v>9</v>
      </c>
      <c r="C52" s="4" t="s">
        <v>9</v>
      </c>
      <c r="D52" s="6">
        <v>8.8290799999999996E-3</v>
      </c>
      <c r="E52" s="6">
        <v>0.95896420999999998</v>
      </c>
      <c r="F52" s="6">
        <v>0.22253750947197601</v>
      </c>
      <c r="G52" s="9">
        <v>0.81739215794943598</v>
      </c>
      <c r="H52" s="15">
        <f>LOG10(20/100)</f>
        <v>-0.69897000433601875</v>
      </c>
      <c r="I52" s="6">
        <f t="shared" si="5"/>
        <v>-2.0358869469788607</v>
      </c>
      <c r="J52" s="9">
        <f t="shared" si="6"/>
        <v>-0.56502724344575039</v>
      </c>
    </row>
    <row r="53" spans="1:10" x14ac:dyDescent="0.3">
      <c r="A53" s="22"/>
      <c r="B53" s="5">
        <v>2</v>
      </c>
      <c r="C53" s="4" t="s">
        <v>5</v>
      </c>
      <c r="D53" s="6">
        <v>0.93040224000000005</v>
      </c>
      <c r="E53" s="6">
        <v>3.890441E-2</v>
      </c>
      <c r="F53" s="6">
        <v>0.74674787763878903</v>
      </c>
      <c r="G53" s="9">
        <v>0.41091995341681298</v>
      </c>
      <c r="H53" s="15">
        <f>LOG10(100/40)</f>
        <v>0.3979400086720376</v>
      </c>
      <c r="I53" s="6">
        <f t="shared" si="5"/>
        <v>1.3786719138498176</v>
      </c>
      <c r="J53" s="9">
        <f t="shared" si="6"/>
        <v>0.25941676674355751</v>
      </c>
    </row>
    <row r="54" spans="1:10" x14ac:dyDescent="0.3">
      <c r="A54" s="22"/>
      <c r="B54" s="5">
        <v>4</v>
      </c>
      <c r="C54" s="4" t="s">
        <v>6</v>
      </c>
      <c r="D54" s="6">
        <v>0.98350146000000005</v>
      </c>
      <c r="E54" s="6">
        <v>0.97945873999999999</v>
      </c>
      <c r="F54" s="6">
        <v>0.87960474930682298</v>
      </c>
      <c r="G54" s="9">
        <v>0.87814920864493096</v>
      </c>
      <c r="H54" s="15">
        <f>LOG10(100/80)</f>
        <v>9.691001300805642E-2</v>
      </c>
      <c r="I54" s="6">
        <f t="shared" si="5"/>
        <v>1.7888630347422264E-3</v>
      </c>
      <c r="J54" s="9">
        <f t="shared" si="6"/>
        <v>7.1925131417852495E-4</v>
      </c>
    </row>
    <row r="55" spans="1:10" ht="15" thickBot="1" x14ac:dyDescent="0.35">
      <c r="A55" s="22"/>
      <c r="B55" s="5">
        <v>8</v>
      </c>
      <c r="C55" s="17" t="s">
        <v>8</v>
      </c>
      <c r="D55" s="6">
        <v>6.1679060000000001E-2</v>
      </c>
      <c r="E55" s="6">
        <v>0.95139832999999996</v>
      </c>
      <c r="F55" s="6">
        <v>0.42293208563742402</v>
      </c>
      <c r="G55" s="9">
        <v>0.77830343744052999</v>
      </c>
      <c r="H55" s="15">
        <f>LOG10(40/100)</f>
        <v>-0.3979400086720376</v>
      </c>
      <c r="I55" s="6">
        <f t="shared" si="5"/>
        <v>-1.1882246383955561</v>
      </c>
      <c r="J55" s="9">
        <f t="shared" si="6"/>
        <v>-0.26487831451042759</v>
      </c>
    </row>
    <row r="56" spans="1:10" x14ac:dyDescent="0.3">
      <c r="A56" s="21" t="s">
        <v>21</v>
      </c>
      <c r="B56" s="12">
        <v>4</v>
      </c>
      <c r="C56" s="4" t="s">
        <v>6</v>
      </c>
      <c r="D56" s="7">
        <v>0.97440811999999999</v>
      </c>
      <c r="E56" s="7">
        <v>0.98147481999999997</v>
      </c>
      <c r="F56" s="7">
        <v>0.80142651029016299</v>
      </c>
      <c r="G56" s="8">
        <v>0.84684722466684603</v>
      </c>
      <c r="H56" s="14">
        <f>LOG10(100/80)</f>
        <v>9.691001300805642E-2</v>
      </c>
      <c r="I56" s="7">
        <f t="shared" si="5"/>
        <v>-3.1382677430175634E-3</v>
      </c>
      <c r="J56" s="8">
        <f t="shared" si="6"/>
        <v>-2.3941364264418279E-2</v>
      </c>
    </row>
    <row r="57" spans="1:10" x14ac:dyDescent="0.3">
      <c r="A57" s="22"/>
      <c r="B57" s="5">
        <v>5</v>
      </c>
      <c r="C57" s="4" t="s">
        <v>7</v>
      </c>
      <c r="D57" s="6">
        <v>0.98439129999999997</v>
      </c>
      <c r="E57" s="6">
        <v>0.84623817000000001</v>
      </c>
      <c r="F57" s="6">
        <v>0.89216490267202897</v>
      </c>
      <c r="G57" s="9">
        <v>0.70714059968315301</v>
      </c>
      <c r="H57" s="15">
        <f>LOG10(100/100)</f>
        <v>0</v>
      </c>
      <c r="I57" s="6">
        <f t="shared" si="5"/>
        <v>6.5675156266293111E-2</v>
      </c>
      <c r="J57" s="9">
        <f t="shared" si="6"/>
        <v>0.10093936182095863</v>
      </c>
    </row>
    <row r="58" spans="1:10" x14ac:dyDescent="0.3">
      <c r="A58" s="22"/>
      <c r="B58" s="5">
        <v>6</v>
      </c>
      <c r="C58" s="4" t="s">
        <v>10</v>
      </c>
      <c r="D58" s="6">
        <v>0.96359793000000005</v>
      </c>
      <c r="E58" s="6">
        <v>0.98064658999999998</v>
      </c>
      <c r="F58" s="6">
        <v>0.83115298720223496</v>
      </c>
      <c r="G58" s="9">
        <v>0.85344197327390403</v>
      </c>
      <c r="H58" s="15">
        <f>LOG10(80/100)</f>
        <v>-9.6910013008056392E-2</v>
      </c>
      <c r="I58" s="6">
        <f t="shared" si="5"/>
        <v>-7.6166641246939153E-3</v>
      </c>
      <c r="J58" s="9">
        <f t="shared" si="6"/>
        <v>-1.1493028066023741E-2</v>
      </c>
    </row>
    <row r="59" spans="1:10" x14ac:dyDescent="0.3">
      <c r="A59" s="22"/>
      <c r="B59" s="5">
        <v>9</v>
      </c>
      <c r="C59" s="4" t="s">
        <v>9</v>
      </c>
      <c r="D59" s="6">
        <v>2.1107399999999998E-2</v>
      </c>
      <c r="E59" s="6">
        <v>0.92270085999999996</v>
      </c>
      <c r="F59" s="6">
        <v>0.34711344961932</v>
      </c>
      <c r="G59" s="9">
        <v>0.75183652949306401</v>
      </c>
      <c r="H59" s="15">
        <f>LOG10(20/100)</f>
        <v>-0.69897000433601875</v>
      </c>
      <c r="I59" s="6">
        <f t="shared" si="5"/>
        <v>-1.6406261849899395</v>
      </c>
      <c r="J59" s="9">
        <f t="shared" si="6"/>
        <v>-0.33565198133927804</v>
      </c>
    </row>
    <row r="60" spans="1:10" x14ac:dyDescent="0.3">
      <c r="A60" s="22"/>
      <c r="B60" s="5">
        <v>7</v>
      </c>
      <c r="C60" s="4" t="s">
        <v>13</v>
      </c>
      <c r="D60" s="6">
        <v>0.97918347999999999</v>
      </c>
      <c r="E60" s="6">
        <v>0.98986784999999999</v>
      </c>
      <c r="F60" s="6">
        <v>0.88547257298105297</v>
      </c>
      <c r="G60" s="9">
        <v>0.91512371113087898</v>
      </c>
      <c r="H60" s="15">
        <f>LOG10(60/100)</f>
        <v>-0.22184874961635639</v>
      </c>
      <c r="I60" s="6">
        <f t="shared" si="5"/>
        <v>-4.7131412005410947E-3</v>
      </c>
      <c r="J60" s="9">
        <f t="shared" si="6"/>
        <v>-1.4304694492214162E-2</v>
      </c>
    </row>
    <row r="61" spans="1:10" x14ac:dyDescent="0.3">
      <c r="A61" s="22"/>
      <c r="B61" s="5">
        <v>1</v>
      </c>
      <c r="C61" s="4" t="s">
        <v>11</v>
      </c>
      <c r="D61" s="6">
        <v>0.97472276999999996</v>
      </c>
      <c r="E61" s="6">
        <v>1.23874E-2</v>
      </c>
      <c r="F61" s="6">
        <v>0.83743168899452203</v>
      </c>
      <c r="G61" s="9">
        <v>0.30251933462352498</v>
      </c>
      <c r="H61" s="15">
        <f>LOG10(100/20)</f>
        <v>0.69897000433601886</v>
      </c>
      <c r="I61" s="6">
        <f t="shared" si="5"/>
        <v>1.8959009499442265</v>
      </c>
      <c r="J61" s="9">
        <f t="shared" si="6"/>
        <v>0.44219625435417853</v>
      </c>
    </row>
    <row r="62" spans="1:10" x14ac:dyDescent="0.3">
      <c r="A62" s="22"/>
      <c r="B62" s="5">
        <v>8</v>
      </c>
      <c r="C62" s="4" t="s">
        <v>8</v>
      </c>
      <c r="D62" s="6">
        <v>4.389262E-2</v>
      </c>
      <c r="E62" s="6">
        <v>0.97070604000000005</v>
      </c>
      <c r="F62" s="6">
        <v>0.40264983221452699</v>
      </c>
      <c r="G62" s="9">
        <v>0.79283500487906799</v>
      </c>
      <c r="H62" s="15">
        <f>LOG10(40/100)</f>
        <v>-0.3979400086720376</v>
      </c>
      <c r="I62" s="6">
        <f t="shared" si="5"/>
        <v>-1.3446962267860318</v>
      </c>
      <c r="J62" s="9">
        <f t="shared" si="6"/>
        <v>-0.29425529421010121</v>
      </c>
    </row>
    <row r="63" spans="1:10" x14ac:dyDescent="0.3">
      <c r="A63" s="22"/>
      <c r="B63" s="5">
        <v>2</v>
      </c>
      <c r="C63" s="4" t="s">
        <v>5</v>
      </c>
      <c r="D63" s="6">
        <v>0.91758510999999998</v>
      </c>
      <c r="E63" s="6">
        <v>2.9962639999999999E-2</v>
      </c>
      <c r="F63" s="6">
        <v>0.73035259308211997</v>
      </c>
      <c r="G63" s="9">
        <v>0.38368373560486402</v>
      </c>
      <c r="H63" s="15">
        <f>LOG10(100/40)</f>
        <v>0.3979400086720376</v>
      </c>
      <c r="I63" s="6">
        <f t="shared" si="5"/>
        <v>1.4860662812087657</v>
      </c>
      <c r="J63" s="9">
        <f t="shared" si="6"/>
        <v>0.27955918574785515</v>
      </c>
    </row>
    <row r="64" spans="1:10" ht="15" thickBot="1" x14ac:dyDescent="0.35">
      <c r="A64" s="22"/>
      <c r="B64" s="5">
        <v>3</v>
      </c>
      <c r="C64" s="17" t="s">
        <v>12</v>
      </c>
      <c r="D64" s="6">
        <v>0.94040659000000004</v>
      </c>
      <c r="E64" s="6">
        <v>0.87886803999999996</v>
      </c>
      <c r="F64" s="6">
        <v>0.77503135472556905</v>
      </c>
      <c r="G64" s="9">
        <v>0.73986536724472096</v>
      </c>
      <c r="H64" s="15">
        <f>LOG10(100/60)</f>
        <v>0.22184874961635639</v>
      </c>
      <c r="I64" s="6">
        <f t="shared" si="5"/>
        <v>2.9391992170249664E-2</v>
      </c>
      <c r="J64" s="9">
        <f t="shared" si="6"/>
        <v>2.016657403742033E-2</v>
      </c>
    </row>
    <row r="65" spans="1:10" x14ac:dyDescent="0.3">
      <c r="A65" s="21" t="s">
        <v>22</v>
      </c>
      <c r="B65" s="12">
        <v>9</v>
      </c>
      <c r="C65" s="4" t="s">
        <v>9</v>
      </c>
      <c r="D65" s="7">
        <v>1.357628E-2</v>
      </c>
      <c r="E65" s="7">
        <v>0.98523958</v>
      </c>
      <c r="F65" s="7">
        <v>0.314531411269658</v>
      </c>
      <c r="G65" s="8">
        <v>0.90537840762113297</v>
      </c>
      <c r="H65" s="14">
        <f>LOG10(20/100)</f>
        <v>-0.69897000433601875</v>
      </c>
      <c r="I65" s="7">
        <f t="shared" si="5"/>
        <v>-1.8607610640356833</v>
      </c>
      <c r="J65" s="8">
        <f t="shared" si="6"/>
        <v>-0.45916610920862688</v>
      </c>
    </row>
    <row r="66" spans="1:10" x14ac:dyDescent="0.3">
      <c r="A66" s="22"/>
      <c r="B66" s="5">
        <v>7</v>
      </c>
      <c r="C66" s="4" t="s">
        <v>13</v>
      </c>
      <c r="D66" s="6">
        <v>0.98882959000000004</v>
      </c>
      <c r="E66" s="6">
        <v>0.99175225</v>
      </c>
      <c r="F66" s="6">
        <v>0.916712231465584</v>
      </c>
      <c r="G66" s="9">
        <v>0.87978273570061205</v>
      </c>
      <c r="H66" s="15">
        <f>LOG10(60/100)</f>
        <v>-0.22184874961635639</v>
      </c>
      <c r="I66" s="6">
        <f t="shared" ref="I66:I82" si="9">LOG10(D66/E66)</f>
        <v>-1.2817405533764737E-3</v>
      </c>
      <c r="J66" s="9">
        <f t="shared" ref="J66:J82" si="10">LOG10(F66/G66)</f>
        <v>1.7857590668566653E-2</v>
      </c>
    </row>
    <row r="67" spans="1:10" x14ac:dyDescent="0.3">
      <c r="A67" s="22"/>
      <c r="B67" s="5">
        <v>1</v>
      </c>
      <c r="C67" s="4" t="s">
        <v>11</v>
      </c>
      <c r="D67" s="6">
        <v>0.97414712999999997</v>
      </c>
      <c r="E67" s="6">
        <v>1.240455E-2</v>
      </c>
      <c r="F67" s="6">
        <v>0.843693158379765</v>
      </c>
      <c r="G67" s="9">
        <v>0.286095412124451</v>
      </c>
      <c r="H67" s="15">
        <f t="shared" ref="H67" si="11">LOG10(100/20)</f>
        <v>0.69897000433601886</v>
      </c>
      <c r="I67" s="6">
        <f t="shared" si="9"/>
        <v>1.8950435413724576</v>
      </c>
      <c r="J67" s="9">
        <f t="shared" si="10"/>
        <v>0.4696736339300463</v>
      </c>
    </row>
    <row r="68" spans="1:10" x14ac:dyDescent="0.3">
      <c r="A68" s="22"/>
      <c r="B68" s="5">
        <v>4</v>
      </c>
      <c r="C68" s="4" t="s">
        <v>6</v>
      </c>
      <c r="D68" s="6">
        <v>0.92827168000000004</v>
      </c>
      <c r="E68" s="6">
        <v>0.91916414999999996</v>
      </c>
      <c r="F68" s="6">
        <v>0.73956938784939497</v>
      </c>
      <c r="G68" s="9">
        <v>0.76330729974724898</v>
      </c>
      <c r="H68" s="15">
        <f>LOG10(100/80)</f>
        <v>9.691001300805642E-2</v>
      </c>
      <c r="I68" s="6">
        <f t="shared" si="9"/>
        <v>4.2820237666589753E-3</v>
      </c>
      <c r="J68" s="9">
        <f t="shared" si="10"/>
        <v>-1.3720489091961788E-2</v>
      </c>
    </row>
    <row r="69" spans="1:10" x14ac:dyDescent="0.3">
      <c r="A69" s="22"/>
      <c r="B69" s="5">
        <v>5</v>
      </c>
      <c r="C69" s="4" t="s">
        <v>7</v>
      </c>
      <c r="D69" s="6">
        <v>0.83339357000000003</v>
      </c>
      <c r="E69" s="6">
        <v>0.98489925</v>
      </c>
      <c r="F69" s="6">
        <v>0.70222503338878794</v>
      </c>
      <c r="G69" s="9">
        <v>0.88590566572981899</v>
      </c>
      <c r="H69" s="15">
        <f>LOG10(100/100)</f>
        <v>0</v>
      </c>
      <c r="I69" s="6">
        <f t="shared" si="9"/>
        <v>-7.2541661374053462E-2</v>
      </c>
      <c r="J69" s="9">
        <f t="shared" si="10"/>
        <v>-0.10091117175867527</v>
      </c>
    </row>
    <row r="70" spans="1:10" x14ac:dyDescent="0.3">
      <c r="A70" s="22"/>
      <c r="B70" s="5">
        <v>2</v>
      </c>
      <c r="C70" s="4" t="s">
        <v>5</v>
      </c>
      <c r="D70" s="6">
        <v>0.98137821000000003</v>
      </c>
      <c r="E70" s="6">
        <v>4.4681159999999998E-2</v>
      </c>
      <c r="F70" s="6">
        <v>0.88217804173207903</v>
      </c>
      <c r="G70" s="9">
        <v>0.41168295534590299</v>
      </c>
      <c r="H70" s="15">
        <f>LOG10(100/40)</f>
        <v>0.3979400086720376</v>
      </c>
      <c r="I70" s="6">
        <f t="shared" si="9"/>
        <v>1.3417119712842225</v>
      </c>
      <c r="J70" s="9">
        <f t="shared" si="10"/>
        <v>0.33099335702104138</v>
      </c>
    </row>
    <row r="71" spans="1:10" x14ac:dyDescent="0.3">
      <c r="A71" s="22"/>
      <c r="B71" s="5">
        <v>6</v>
      </c>
      <c r="C71" s="4" t="s">
        <v>10</v>
      </c>
      <c r="D71" s="6">
        <v>0.98449118000000002</v>
      </c>
      <c r="E71" s="6">
        <v>0.75562764999999998</v>
      </c>
      <c r="F71" s="6">
        <v>0.91440452542334105</v>
      </c>
      <c r="G71" s="9">
        <v>0.68011248771366595</v>
      </c>
      <c r="H71" s="15">
        <f>LOG10(80/100)</f>
        <v>-9.6910013008056392E-2</v>
      </c>
      <c r="I71" s="6">
        <f t="shared" si="9"/>
        <v>0.11490398838600301</v>
      </c>
      <c r="J71" s="9">
        <f t="shared" si="10"/>
        <v>0.12855761762489412</v>
      </c>
    </row>
    <row r="72" spans="1:10" x14ac:dyDescent="0.3">
      <c r="A72" s="22"/>
      <c r="B72" s="5">
        <v>8</v>
      </c>
      <c r="C72" s="4" t="s">
        <v>8</v>
      </c>
      <c r="D72" s="6">
        <v>3.1553079999999997E-2</v>
      </c>
      <c r="E72" s="6">
        <v>0.93329139000000005</v>
      </c>
      <c r="F72" s="6">
        <v>0.37650320640122498</v>
      </c>
      <c r="G72" s="9">
        <v>0.758605048187316</v>
      </c>
      <c r="H72" s="15">
        <f>LOG10(40/100)</f>
        <v>-0.3979400086720376</v>
      </c>
      <c r="I72" s="6">
        <f t="shared" si="9"/>
        <v>-1.4709755007369389</v>
      </c>
      <c r="J72" s="9">
        <f t="shared" si="10"/>
        <v>-0.30424704929812252</v>
      </c>
    </row>
    <row r="73" spans="1:10" ht="15" thickBot="1" x14ac:dyDescent="0.35">
      <c r="A73" s="22"/>
      <c r="B73" s="5">
        <v>3</v>
      </c>
      <c r="C73" s="17" t="s">
        <v>12</v>
      </c>
      <c r="D73" s="6">
        <v>0.96060314999999996</v>
      </c>
      <c r="E73" s="6">
        <v>0.97434444399999998</v>
      </c>
      <c r="F73" s="6">
        <v>0.801480741997177</v>
      </c>
      <c r="G73" s="9">
        <v>0.85958825536978001</v>
      </c>
      <c r="H73" s="15">
        <f>LOG10(100/60)</f>
        <v>0.22184874961635639</v>
      </c>
      <c r="I73" s="6">
        <f t="shared" si="9"/>
        <v>-6.168506583408122E-3</v>
      </c>
      <c r="J73" s="9">
        <f t="shared" si="10"/>
        <v>-3.039738148113906E-2</v>
      </c>
    </row>
    <row r="74" spans="1:10" x14ac:dyDescent="0.3">
      <c r="A74" s="21" t="s">
        <v>23</v>
      </c>
      <c r="B74" s="12">
        <v>4</v>
      </c>
      <c r="C74" s="4" t="s">
        <v>6</v>
      </c>
      <c r="D74" s="7">
        <v>0.94474908000000002</v>
      </c>
      <c r="E74" s="7">
        <v>0.96759275</v>
      </c>
      <c r="F74" s="7">
        <v>0.75834755726563396</v>
      </c>
      <c r="G74" s="8">
        <v>0.83876857707524199</v>
      </c>
      <c r="H74" s="14">
        <f>LOG10(100/80)</f>
        <v>9.691001300805642E-2</v>
      </c>
      <c r="I74" s="7">
        <f t="shared" si="9"/>
        <v>-1.0376127939140821E-2</v>
      </c>
      <c r="J74" s="8">
        <f t="shared" si="10"/>
        <v>-4.3773859866172153E-2</v>
      </c>
    </row>
    <row r="75" spans="1:10" x14ac:dyDescent="0.3">
      <c r="A75" s="22"/>
      <c r="B75" s="5">
        <v>5</v>
      </c>
      <c r="C75" s="4" t="s">
        <v>7</v>
      </c>
      <c r="D75" s="6">
        <v>0.86408662000000003</v>
      </c>
      <c r="E75" s="6">
        <v>0.94335064000000002</v>
      </c>
      <c r="F75" s="6">
        <v>0.67720013879188301</v>
      </c>
      <c r="G75" s="9">
        <v>0.79379177524216205</v>
      </c>
      <c r="H75" s="15">
        <f>LOG10(100/100)</f>
        <v>0</v>
      </c>
      <c r="I75" s="6">
        <f t="shared" si="9"/>
        <v>-3.8115868095015229E-2</v>
      </c>
      <c r="J75" s="9">
        <f t="shared" si="10"/>
        <v>-6.8989556270073762E-2</v>
      </c>
    </row>
    <row r="76" spans="1:10" x14ac:dyDescent="0.3">
      <c r="A76" s="22"/>
      <c r="B76" s="5">
        <v>6</v>
      </c>
      <c r="C76" s="4" t="s">
        <v>10</v>
      </c>
      <c r="D76" s="6">
        <v>0.9818557</v>
      </c>
      <c r="E76" s="6">
        <v>0.97609022000000001</v>
      </c>
      <c r="F76" s="6">
        <v>0.86189551784386798</v>
      </c>
      <c r="G76" s="9">
        <v>0.83105762790058302</v>
      </c>
      <c r="H76" s="15">
        <f>LOG10(80/100)</f>
        <v>-9.6910013008056392E-2</v>
      </c>
      <c r="I76" s="6">
        <f t="shared" si="9"/>
        <v>2.557704338146075E-3</v>
      </c>
      <c r="J76" s="9">
        <f t="shared" si="10"/>
        <v>1.5823482191894871E-2</v>
      </c>
    </row>
    <row r="77" spans="1:10" x14ac:dyDescent="0.3">
      <c r="A77" s="22"/>
      <c r="B77" s="5">
        <v>2</v>
      </c>
      <c r="C77" s="4" t="s">
        <v>5</v>
      </c>
      <c r="D77" s="6">
        <v>0.72963674000000001</v>
      </c>
      <c r="E77" s="6">
        <v>4.1475959999999999E-2</v>
      </c>
      <c r="F77" s="6">
        <v>0.652446409743906</v>
      </c>
      <c r="G77" s="9">
        <v>0.39670164246525802</v>
      </c>
      <c r="H77" s="15">
        <f t="shared" ref="H77" si="12">LOG10(100/40)</f>
        <v>0.3979400086720376</v>
      </c>
      <c r="I77" s="6">
        <f t="shared" si="9"/>
        <v>1.2453102472929694</v>
      </c>
      <c r="J77" s="9">
        <f t="shared" si="10"/>
        <v>0.21608084706385369</v>
      </c>
    </row>
    <row r="78" spans="1:10" x14ac:dyDescent="0.3">
      <c r="A78" s="22"/>
      <c r="B78" s="5">
        <v>8</v>
      </c>
      <c r="C78" s="4" t="s">
        <v>8</v>
      </c>
      <c r="D78" s="6">
        <v>2.5564360000000001E-2</v>
      </c>
      <c r="E78" s="6">
        <v>0.84867287000000002</v>
      </c>
      <c r="F78" s="6">
        <v>0.36741928566471199</v>
      </c>
      <c r="G78" s="9">
        <v>0.72938256175009197</v>
      </c>
      <c r="H78" s="15">
        <f>LOG10(40/100)</f>
        <v>-0.3979400086720376</v>
      </c>
      <c r="I78" s="6">
        <f t="shared" si="9"/>
        <v>-1.5211053943640602</v>
      </c>
      <c r="J78" s="9">
        <f t="shared" si="10"/>
        <v>-0.2977934274069709</v>
      </c>
    </row>
    <row r="79" spans="1:10" x14ac:dyDescent="0.3">
      <c r="A79" s="22"/>
      <c r="B79" s="5">
        <v>7</v>
      </c>
      <c r="C79" s="4" t="s">
        <v>13</v>
      </c>
      <c r="D79" s="6">
        <v>0.99094238999999995</v>
      </c>
      <c r="E79" s="6">
        <v>0.95581956999999995</v>
      </c>
      <c r="F79" s="6">
        <v>0.91670345020924504</v>
      </c>
      <c r="G79" s="9">
        <v>0.77942178827891795</v>
      </c>
      <c r="H79" s="15">
        <f>LOG10(60/100)</f>
        <v>-0.22184874961635639</v>
      </c>
      <c r="I79" s="6">
        <f t="shared" si="9"/>
        <v>1.5672488552967278E-2</v>
      </c>
      <c r="J79" s="9">
        <f t="shared" si="10"/>
        <v>7.0456323839341653E-2</v>
      </c>
    </row>
    <row r="80" spans="1:10" x14ac:dyDescent="0.3">
      <c r="A80" s="22"/>
      <c r="B80" s="5">
        <v>3</v>
      </c>
      <c r="C80" s="4" t="s">
        <v>12</v>
      </c>
      <c r="D80" s="6">
        <v>0.91687532999999999</v>
      </c>
      <c r="E80" s="6">
        <v>0.97247768000000001</v>
      </c>
      <c r="F80" s="6">
        <v>0.73800793385327002</v>
      </c>
      <c r="G80" s="9">
        <v>0.84307155620249297</v>
      </c>
      <c r="H80" s="15">
        <f>LOG10(100/60)</f>
        <v>0.22184874961635639</v>
      </c>
      <c r="I80" s="6">
        <f t="shared" si="9"/>
        <v>-2.5569354824785038E-2</v>
      </c>
      <c r="J80" s="9">
        <f t="shared" si="10"/>
        <v>-5.7803406521475705E-2</v>
      </c>
    </row>
    <row r="81" spans="1:10" x14ac:dyDescent="0.3">
      <c r="A81" s="22"/>
      <c r="B81" s="5">
        <v>1</v>
      </c>
      <c r="C81" s="4" t="s">
        <v>11</v>
      </c>
      <c r="D81" s="6">
        <v>0.75491717000000003</v>
      </c>
      <c r="E81" s="6">
        <v>1.2215210000000001E-2</v>
      </c>
      <c r="F81" s="6">
        <v>0.67111347549255196</v>
      </c>
      <c r="G81" s="9">
        <v>0.29042507624654501</v>
      </c>
      <c r="H81" s="15">
        <f>LOG10(100/20)</f>
        <v>0.69897000433601886</v>
      </c>
      <c r="I81" s="6">
        <f t="shared" si="9"/>
        <v>1.7909983655457404</v>
      </c>
      <c r="J81" s="9">
        <f t="shared" si="10"/>
        <v>0.3637618471890513</v>
      </c>
    </row>
    <row r="82" spans="1:10" ht="15" thickBot="1" x14ac:dyDescent="0.35">
      <c r="A82" s="23"/>
      <c r="B82" s="13">
        <v>9</v>
      </c>
      <c r="C82" s="17" t="s">
        <v>9</v>
      </c>
      <c r="D82" s="10">
        <v>1.266043E-2</v>
      </c>
      <c r="E82" s="10">
        <v>0.82742287999999997</v>
      </c>
      <c r="F82" s="10">
        <v>0.294341655766923</v>
      </c>
      <c r="G82" s="11">
        <v>0.67911272039595105</v>
      </c>
      <c r="H82" s="16">
        <f>LOG10(20/100)</f>
        <v>-0.69897000433601875</v>
      </c>
      <c r="I82" s="10">
        <f t="shared" si="9"/>
        <v>-1.8152790695411065</v>
      </c>
      <c r="J82" s="11">
        <f t="shared" si="10"/>
        <v>-0.36309013667690215</v>
      </c>
    </row>
  </sheetData>
  <mergeCells count="9">
    <mergeCell ref="A56:A64"/>
    <mergeCell ref="A65:A73"/>
    <mergeCell ref="A74:A82"/>
    <mergeCell ref="A2:A10"/>
    <mergeCell ref="A11:A19"/>
    <mergeCell ref="A20:A28"/>
    <mergeCell ref="A29:A37"/>
    <mergeCell ref="A38:A46"/>
    <mergeCell ref="A47:A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CASTANEDA LOZANO, GISELLE MAGGIE FER</dc:creator>
  <cp:lastModifiedBy>Diego González</cp:lastModifiedBy>
  <dcterms:created xsi:type="dcterms:W3CDTF">2023-10-30T00:01:42Z</dcterms:created>
  <dcterms:modified xsi:type="dcterms:W3CDTF">2026-09-26T03:46:45Z</dcterms:modified>
</cp:coreProperties>
</file>